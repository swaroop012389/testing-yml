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Project GIT\victor-us-test-automation\Test Data\Regression\A&amp;E\"/>
    </mc:Choice>
  </mc:AlternateContent>
  <xr:revisionPtr revIDLastSave="0" documentId="13_ncr:1_{400F6830-1A6C-40AB-99C1-D57B8DF3906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Data!$A$1:$B$299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3" i="2" l="1"/>
  <c r="B200" i="2"/>
  <c r="B221" i="2"/>
  <c r="B29" i="2" l="1"/>
  <c r="B165" i="2" s="1"/>
  <c r="B175" i="2" l="1"/>
</calcChain>
</file>

<file path=xl/sharedStrings.xml><?xml version="1.0" encoding="utf-8"?>
<sst xmlns="http://schemas.openxmlformats.org/spreadsheetml/2006/main" count="410" uniqueCount="357">
  <si>
    <t>Steps</t>
  </si>
  <si>
    <t>Arguments</t>
  </si>
  <si>
    <t xml:space="preserve">   </t>
  </si>
  <si>
    <t>Keys</t>
  </si>
  <si>
    <t>Value1</t>
  </si>
  <si>
    <t>General Information</t>
  </si>
  <si>
    <t>Dummy</t>
  </si>
  <si>
    <t>YES</t>
  </si>
  <si>
    <t>Firm Name</t>
  </si>
  <si>
    <t>NetServ</t>
  </si>
  <si>
    <t>Test</t>
  </si>
  <si>
    <t>Policy</t>
  </si>
  <si>
    <t>Email</t>
  </si>
  <si>
    <t>test@test.com</t>
  </si>
  <si>
    <t>City</t>
  </si>
  <si>
    <t>State</t>
  </si>
  <si>
    <t>ZipCode</t>
  </si>
  <si>
    <t>General Questions</t>
  </si>
  <si>
    <t>NO</t>
  </si>
  <si>
    <t>Claims History</t>
  </si>
  <si>
    <t>Staff Information</t>
  </si>
  <si>
    <t>Other</t>
  </si>
  <si>
    <t>Prior Coverage</t>
  </si>
  <si>
    <t>Quote Options</t>
  </si>
  <si>
    <t>Billing and Contact Information</t>
  </si>
  <si>
    <t>Billing Preference</t>
  </si>
  <si>
    <t>Agency Bill</t>
  </si>
  <si>
    <t>Payment Plan</t>
  </si>
  <si>
    <t>Annual</t>
  </si>
  <si>
    <t>View Quote</t>
  </si>
  <si>
    <t>Issue Policy</t>
  </si>
  <si>
    <t>First Name</t>
  </si>
  <si>
    <t>Last Name</t>
  </si>
  <si>
    <t>Real estate development</t>
  </si>
  <si>
    <t>Retroactive date</t>
  </si>
  <si>
    <t>Policy date-1</t>
  </si>
  <si>
    <t>Insurance Carrier-1</t>
  </si>
  <si>
    <t>Limit of Liability-1</t>
  </si>
  <si>
    <t>Deductible-1</t>
  </si>
  <si>
    <t>Optional Coverages</t>
  </si>
  <si>
    <t>Insurance Agency Information</t>
  </si>
  <si>
    <t>Broker-id</t>
  </si>
  <si>
    <t>Broker-email</t>
  </si>
  <si>
    <t>Chen, Yuyi (yuyi.chenDEP@victorinsurance.com)</t>
  </si>
  <si>
    <t>Is your mailing address the same as your physical address?</t>
  </si>
  <si>
    <t>Year firm established</t>
  </si>
  <si>
    <t>Are there any other individuals or entities that should be added to the policy as a named insured?</t>
  </si>
  <si>
    <t>City1</t>
  </si>
  <si>
    <t>State1</t>
  </si>
  <si>
    <t>ZipCode1</t>
  </si>
  <si>
    <t>Please select firm type</t>
  </si>
  <si>
    <t>Firm Type/Service Type</t>
  </si>
  <si>
    <t>Civil engineering%</t>
  </si>
  <si>
    <t>Electrical engineering%</t>
  </si>
  <si>
    <t>Mechanical engineering%</t>
  </si>
  <si>
    <t>Structural engineering%</t>
  </si>
  <si>
    <t>Landscape architecture%</t>
  </si>
  <si>
    <t>Firm licensed</t>
  </si>
  <si>
    <t>Project Types</t>
  </si>
  <si>
    <t>Airports (excluding terminals)</t>
  </si>
  <si>
    <t>Airports terminals</t>
  </si>
  <si>
    <t>Amusement rides</t>
  </si>
  <si>
    <t>Apartments</t>
  </si>
  <si>
    <t>Assisted living facilities</t>
  </si>
  <si>
    <t>Bridges</t>
  </si>
  <si>
    <t>Churches/religious</t>
  </si>
  <si>
    <t>Condos/co-ops</t>
  </si>
  <si>
    <t>Convention centers/arenas/stadiums</t>
  </si>
  <si>
    <t>Dams</t>
  </si>
  <si>
    <t>Dorms</t>
  </si>
  <si>
    <t>Environmental remediation</t>
  </si>
  <si>
    <t>Harbors/ports/piers</t>
  </si>
  <si>
    <t>Hospitals/healthcare</t>
  </si>
  <si>
    <t>Hotels/motels</t>
  </si>
  <si>
    <t>Jails</t>
  </si>
  <si>
    <t>Landfills/solid waste</t>
  </si>
  <si>
    <t>Libraries</t>
  </si>
  <si>
    <t>Manufacturing/industrial</t>
  </si>
  <si>
    <t>Mass transit</t>
  </si>
  <si>
    <t>Multi-family residential</t>
  </si>
  <si>
    <t>Nuclear</t>
  </si>
  <si>
    <t>Office buildings/banks</t>
  </si>
  <si>
    <t>Parking</t>
  </si>
  <si>
    <t>Parks/playgrounds</t>
  </si>
  <si>
    <t>Petrol chemicals</t>
  </si>
  <si>
    <t>Potable water systems</t>
  </si>
  <si>
    <t>Recreation/sports</t>
  </si>
  <si>
    <t>Roads/highways</t>
  </si>
  <si>
    <t>Schools/colleges</t>
  </si>
  <si>
    <t>Shopping centers retail/restaurants</t>
  </si>
  <si>
    <t>Single-family residential</t>
  </si>
  <si>
    <t>Storm water systems</t>
  </si>
  <si>
    <t>Tunnels</t>
  </si>
  <si>
    <t>Utilities</t>
  </si>
  <si>
    <t>Warehouses</t>
  </si>
  <si>
    <t>Wastewater treatment</t>
  </si>
  <si>
    <t>Waste treatment</t>
  </si>
  <si>
    <t>Water/sewer/pipelines</t>
  </si>
  <si>
    <t>Other (please provide description)</t>
  </si>
  <si>
    <t>Description</t>
  </si>
  <si>
    <t>Client Types</t>
  </si>
  <si>
    <t>Commercial companies &amp; entities</t>
  </si>
  <si>
    <t>Design-build contractors</t>
  </si>
  <si>
    <t>Design professional</t>
  </si>
  <si>
    <t>Financial institutions</t>
  </si>
  <si>
    <t>General/speciality contractors</t>
  </si>
  <si>
    <t>Government-federal</t>
  </si>
  <si>
    <t>Government-foreign</t>
  </si>
  <si>
    <t>Government-local</t>
  </si>
  <si>
    <t>Government-state</t>
  </si>
  <si>
    <t>Institutional entities (non-public)</t>
  </si>
  <si>
    <t>Manufacturing/industrial entities</t>
  </si>
  <si>
    <t>Real estate developers</t>
  </si>
  <si>
    <t>Other (please provide %)</t>
  </si>
  <si>
    <t>Total gross billigs is from repeat clients?</t>
  </si>
  <si>
    <t>Architects</t>
  </si>
  <si>
    <t>Engineers</t>
  </si>
  <si>
    <t>Land surveyors</t>
  </si>
  <si>
    <t>Landscape architects</t>
  </si>
  <si>
    <t>Are more than 50% of the professional staff at the firm members of the American Institute of Architects/National Society of Professional Engineers?</t>
  </si>
  <si>
    <t>Architects Principals</t>
  </si>
  <si>
    <t>Architects Staff</t>
  </si>
  <si>
    <t>Engineers Principals</t>
  </si>
  <si>
    <t>Engineers Staff</t>
  </si>
  <si>
    <t>Land surveyors Principals</t>
  </si>
  <si>
    <t>Land surveyors Staff</t>
  </si>
  <si>
    <t>Landscape architects Principals</t>
  </si>
  <si>
    <t>Landscape architects Staff</t>
  </si>
  <si>
    <t>Other Principals</t>
  </si>
  <si>
    <t>Other Staff</t>
  </si>
  <si>
    <t>Financial Information</t>
  </si>
  <si>
    <t>Are you employed elsewhere?</t>
  </si>
  <si>
    <t>Business Information</t>
  </si>
  <si>
    <t>Development, sale, or leasing of computer hardware and software to others?</t>
  </si>
  <si>
    <t>Actual construction, installation, fabrication or erection that is over 20% of the services?</t>
  </si>
  <si>
    <t>Real estate development?</t>
  </si>
  <si>
    <t>Manufacture, sale, lease, or distribution of any product, process, or patented production process?</t>
  </si>
  <si>
    <t>Does the firm control any other entity?</t>
  </si>
  <si>
    <t>Is the firm controlled/owned by or associated with any other entity?</t>
  </si>
  <si>
    <t>Has the firm ever been party to any acquisition, consolidation, merger, change in name or change in business organization?</t>
  </si>
  <si>
    <t>Has the firm or any subsidiary or predecessor firm ever filed for or been in receivership or bankruptcy?</t>
  </si>
  <si>
    <t>Has the firm or any member of the firm ever had a professional liability policy cancelled or non-renewed by any insurance company, for any reason other than premium nonpayment?</t>
  </si>
  <si>
    <t>Risk Management and Loss Prevention</t>
  </si>
  <si>
    <t>Does the majority of the staff know and implement the firm’s written in-house quality management procedures?</t>
  </si>
  <si>
    <t>Do the majority of the firm’s projects use an automated master specification system?</t>
  </si>
  <si>
    <t>Does the firm have an in-house continuing education program for professional employees?</t>
  </si>
  <si>
    <t>In the last year, did at least 50% of the firm’s employees attend any risk management seminar/webinar?</t>
  </si>
  <si>
    <t>Have at least 50% of the firm’s employees completed at least one course within a risk management continuing education program?</t>
  </si>
  <si>
    <t>Does the firm use written contracts on all projects?</t>
  </si>
  <si>
    <t>Do at least 51% of the firm's written contracts contain specified payment terms?</t>
  </si>
  <si>
    <t>Do at least 51% of the firm’s projects involve pre-project planning that result in a project-definition document?</t>
  </si>
  <si>
    <t>Are at least 51% of the firm’s instruments of service or deliverables peer reviewed prior to delivery?</t>
  </si>
  <si>
    <t>Do at least 51% of the firm’s projects use a documented constructability review process during design?</t>
  </si>
  <si>
    <t xml:space="preserve">When the firm performs construction contract administration services, is a documented submittal or shop drawing </t>
  </si>
  <si>
    <t>In projects with subconsultants, does the firm receive both a written agreement and insurance certificates</t>
  </si>
  <si>
    <t>Does the firm currently carry professional liability coverage?</t>
  </si>
  <si>
    <t>Limit of Aggregate-1</t>
  </si>
  <si>
    <t>Aggregate-Deductible-1</t>
  </si>
  <si>
    <t>Premium-1</t>
  </si>
  <si>
    <t>Policy date-2</t>
  </si>
  <si>
    <t>Insurance Carrier-2</t>
  </si>
  <si>
    <t>Limit of Liability-2</t>
  </si>
  <si>
    <t>Limit of Aggregate-2</t>
  </si>
  <si>
    <t>Deductible-2</t>
  </si>
  <si>
    <t>Aggregate-Deductible-2</t>
  </si>
  <si>
    <t>Deductible type-1</t>
  </si>
  <si>
    <t>Deductible type-2</t>
  </si>
  <si>
    <t>Has the firm insured with Victor/CNA in the last 5 years?</t>
  </si>
  <si>
    <t>In the past 5 years (or 10 years if applicant has billings over $10M annually)</t>
  </si>
  <si>
    <t>Date Of Claim</t>
  </si>
  <si>
    <t>Claimant</t>
  </si>
  <si>
    <t>Open or Closed</t>
  </si>
  <si>
    <t>Amount Reserved</t>
  </si>
  <si>
    <t>Amount Paid</t>
  </si>
  <si>
    <t>After complete investigation and inquiry</t>
  </si>
  <si>
    <t>Description_01</t>
  </si>
  <si>
    <t>Claims Description</t>
  </si>
  <si>
    <t>Date01</t>
  </si>
  <si>
    <t>Description_02</t>
  </si>
  <si>
    <t>Date02</t>
  </si>
  <si>
    <t>Per claim policy limit</t>
  </si>
  <si>
    <t>Sale limit SALE 1</t>
  </si>
  <si>
    <t>Sale limit SALE 2</t>
  </si>
  <si>
    <t>Sale limit SALE 3</t>
  </si>
  <si>
    <t>SALE for a specific client/project?Sale1</t>
  </si>
  <si>
    <t>SALE for a specific client/project?Sale2</t>
  </si>
  <si>
    <t>SALE for a specific client/project?Sale3</t>
  </si>
  <si>
    <t>Client/project name(Sale1)</t>
  </si>
  <si>
    <t>Client/project name(Sale2)</t>
  </si>
  <si>
    <t>Client/project name(Sale3)</t>
  </si>
  <si>
    <t>Location-Sale1</t>
  </si>
  <si>
    <t>Location-Sale2</t>
  </si>
  <si>
    <t>Location-Sale3</t>
  </si>
  <si>
    <t>Job/contract-Sale1</t>
  </si>
  <si>
    <t>Job/contract-Sale2</t>
  </si>
  <si>
    <t>Job/contract-Sale3</t>
  </si>
  <si>
    <t>Start date-Sale1</t>
  </si>
  <si>
    <t>Start date-Sale2</t>
  </si>
  <si>
    <t>Start date-Sale3</t>
  </si>
  <si>
    <t>Completion date-Sale1</t>
  </si>
  <si>
    <t>Completion date-Sale2</t>
  </si>
  <si>
    <t>Completion date-Sale3</t>
  </si>
  <si>
    <t>Past year's billings-Sale1</t>
  </si>
  <si>
    <t>Past year's billings-Sale2</t>
  </si>
  <si>
    <t>Past year's billings-Sale3</t>
  </si>
  <si>
    <t>Current year billings-Sale1</t>
  </si>
  <si>
    <t>Current year billings-Sale2</t>
  </si>
  <si>
    <t>Current year billings-Sale3</t>
  </si>
  <si>
    <t>Next year billings-Sale1</t>
  </si>
  <si>
    <t>Next year billings-Sale2</t>
  </si>
  <si>
    <t>Next year billings-Sale3</t>
  </si>
  <si>
    <t>Subsequent year(s) billings1-Sale1</t>
  </si>
  <si>
    <t>Subsequent year(s) billings1-Sale2</t>
  </si>
  <si>
    <t>Subsequent year(s) billings1-Sale3</t>
  </si>
  <si>
    <t>Subsequent year(s) billings2-Sale1</t>
  </si>
  <si>
    <t>Subsequent year(s) billings2-Sale2</t>
  </si>
  <si>
    <t>Subsequent year(s) billings2-Sale3</t>
  </si>
  <si>
    <t>Subsequent year(s) billings3-Sale1</t>
  </si>
  <si>
    <t>Subsequent year(s) billings3-Sale2</t>
  </si>
  <si>
    <t>Subsequent year(s) billings3-Sale3</t>
  </si>
  <si>
    <t>SALE1</t>
  </si>
  <si>
    <t>SALE2</t>
  </si>
  <si>
    <t>SALE3</t>
  </si>
  <si>
    <t>General Quote</t>
  </si>
  <si>
    <t>General Quote Option</t>
  </si>
  <si>
    <t>Billing  Information</t>
  </si>
  <si>
    <t>Is your accounting contact the same as your primary contact?</t>
  </si>
  <si>
    <t>Architect</t>
  </si>
  <si>
    <t>Interior design(non-structural)%</t>
  </si>
  <si>
    <t>Contact first name</t>
  </si>
  <si>
    <t>Contact last name</t>
  </si>
  <si>
    <t>Contact e-mail address</t>
  </si>
  <si>
    <t>Phone</t>
  </si>
  <si>
    <t>Website address</t>
  </si>
  <si>
    <t>Please provide the name of the individual or entity</t>
  </si>
  <si>
    <t>Is this applicant an individual or business entity?</t>
  </si>
  <si>
    <t>Individual</t>
  </si>
  <si>
    <t>Is this person a principal or owner of the firm?</t>
  </si>
  <si>
    <t>Please describe the relationship of this individual to the first named insured</t>
  </si>
  <si>
    <t>Is this person providing any professional services outside of their employment for the first named insured?</t>
  </si>
  <si>
    <t>Please explain</t>
  </si>
  <si>
    <t>Business Entity</t>
  </si>
  <si>
    <t>Is this a direct predecessor firm?</t>
  </si>
  <si>
    <t>Are you currently providing any professional services under this name?</t>
  </si>
  <si>
    <t>Please explain.</t>
  </si>
  <si>
    <t>Is this a joint venture?</t>
  </si>
  <si>
    <t>Does the insured own 51% or more in the joint venture?</t>
  </si>
  <si>
    <t>Are the services of this firm the same as those of the first named insured?</t>
  </si>
  <si>
    <t>Does this firm have the same majority ownership group as the first named insured?</t>
  </si>
  <si>
    <t>What is the ownership percentage breakdown?</t>
  </si>
  <si>
    <t>What is the relationship between the first named insured and this firm?</t>
  </si>
  <si>
    <t>What services is the entity performing?</t>
  </si>
  <si>
    <t>Additional Named Insureds</t>
  </si>
  <si>
    <t>Architecture%</t>
  </si>
  <si>
    <t>Chemical engineering%</t>
  </si>
  <si>
    <t>Concept design w/o construction documents%</t>
  </si>
  <si>
    <t>Construction/program management%</t>
  </si>
  <si>
    <t>Drafting services%</t>
  </si>
  <si>
    <t>Environmental abatement%</t>
  </si>
  <si>
    <t>Environmental impact studies%</t>
  </si>
  <si>
    <t>Feasibility studies/reports opinions/master plans%</t>
  </si>
  <si>
    <t>HVAC engineering%</t>
  </si>
  <si>
    <t>Machinery/equipment design%</t>
  </si>
  <si>
    <t>Marine engineering%</t>
  </si>
  <si>
    <t>Mining engineering%</t>
  </si>
  <si>
    <t>Process engineering%</t>
  </si>
  <si>
    <t>Transportation engineering%</t>
  </si>
  <si>
    <t>Show more services%</t>
  </si>
  <si>
    <t>Alarm systems/fire protection%</t>
  </si>
  <si>
    <t>Design/build%</t>
  </si>
  <si>
    <t>Environmental permitting%</t>
  </si>
  <si>
    <t>Facilities and operations management%</t>
  </si>
  <si>
    <t>Forensic investigations and testimony%</t>
  </si>
  <si>
    <t>Geotechnical engineering%</t>
  </si>
  <si>
    <t>Historic preservation consulting%</t>
  </si>
  <si>
    <t>Land surveying%</t>
  </si>
  <si>
    <t>LEED consulting%</t>
  </si>
  <si>
    <t>Management consulting%</t>
  </si>
  <si>
    <t>Technical consulting (non-licensed)%</t>
  </si>
  <si>
    <t>Other (please specify)%</t>
  </si>
  <si>
    <t>Last 12 months</t>
  </si>
  <si>
    <t>Date of reporting periods to</t>
  </si>
  <si>
    <t>Total billings (Gross billings – Direct reimbursable)</t>
  </si>
  <si>
    <t>Next 12 months(Projected)</t>
  </si>
  <si>
    <t>Date Firm Name Changed</t>
  </si>
  <si>
    <t>Name of Firm Change, Merger/Acquisition, or Consolidation</t>
  </si>
  <si>
    <t>Effective Date</t>
  </si>
  <si>
    <t>Schematic designs w/o construction documents%</t>
  </si>
  <si>
    <t>Direct reimbursable last 12 months</t>
  </si>
  <si>
    <t>Direct reimbursable next 12 months</t>
  </si>
  <si>
    <t>Gross billings next 12 months</t>
  </si>
  <si>
    <t>Gross billings last 12 months</t>
  </si>
  <si>
    <t>Abandoned projects last 12 months</t>
  </si>
  <si>
    <t>International work last 12 months</t>
  </si>
  <si>
    <t>Separately insured projects last 12 months</t>
  </si>
  <si>
    <t>Sub-consultants last 12 months</t>
  </si>
  <si>
    <t>Abandoned projects next 12 months</t>
  </si>
  <si>
    <t>International work next 12 months</t>
  </si>
  <si>
    <t>Separately insured projects next 12 months</t>
  </si>
  <si>
    <t>Sub-consultants next 12 months</t>
  </si>
  <si>
    <t>Date of reporting periods from last 12 months</t>
  </si>
  <si>
    <t>Date of reporting periods from next 12 months</t>
  </si>
  <si>
    <t>RealestateDevExpl Please provide full particulars</t>
  </si>
  <si>
    <t>Please provide full particulars for Development, sale</t>
  </si>
  <si>
    <t>Please provide full particulars for Actual construction</t>
  </si>
  <si>
    <t>ManufSaleLeaseDistrubutionExpl Please provide full particulars</t>
  </si>
  <si>
    <t>FirmControlledAssociatedExpl Please provide full particulars</t>
  </si>
  <si>
    <t>FirmControlOtherEntityExpl Please provide full particulars</t>
  </si>
  <si>
    <t>FirmPartyToAcquisitionExpl Please provide full particulars</t>
  </si>
  <si>
    <t>FiledBankruptcyExpl Please provide full particulars</t>
  </si>
  <si>
    <t>FirmPolicyCancelledExpl Please provide full particulars</t>
  </si>
  <si>
    <t>Arizona</t>
  </si>
  <si>
    <t>NAG</t>
  </si>
  <si>
    <t>Regression testing</t>
  </si>
  <si>
    <t>PT Other</t>
  </si>
  <si>
    <t>Program</t>
  </si>
  <si>
    <t>SAE</t>
  </si>
  <si>
    <t>Mid term Endorsement</t>
  </si>
  <si>
    <t>Endorsement Description</t>
  </si>
  <si>
    <t>Endorsement Type</t>
  </si>
  <si>
    <t>Limit and Deductibles</t>
  </si>
  <si>
    <t>limit0_Value0</t>
  </si>
  <si>
    <t>Agg_limit0</t>
  </si>
  <si>
    <t>Deductibles_limit0</t>
  </si>
  <si>
    <t>Add Endorsements</t>
  </si>
  <si>
    <t>Title</t>
  </si>
  <si>
    <t>Name</t>
  </si>
  <si>
    <t>Type Of Endorsement</t>
  </si>
  <si>
    <t>Endorsement Premium</t>
  </si>
  <si>
    <t>Freeform Text</t>
  </si>
  <si>
    <t>Policy Status1</t>
  </si>
  <si>
    <t>In Force</t>
  </si>
  <si>
    <t>Policy Status2</t>
  </si>
  <si>
    <t>Pending</t>
  </si>
  <si>
    <t>Policy Stage 1</t>
  </si>
  <si>
    <t>Endorsement</t>
  </si>
  <si>
    <t>Post Endorsement Value</t>
  </si>
  <si>
    <t>Document Type</t>
  </si>
  <si>
    <t>Endorsement Letter</t>
  </si>
  <si>
    <t>Generated Document Name</t>
  </si>
  <si>
    <t>Increase limit Quote</t>
  </si>
  <si>
    <t>Premium Endorsement</t>
  </si>
  <si>
    <t>Review</t>
  </si>
  <si>
    <t>Amended Limit of Liability for Claims</t>
  </si>
  <si>
    <t>LIMIT-NON-APH_9/14</t>
  </si>
  <si>
    <t>Document Type For Generation</t>
  </si>
  <si>
    <t>Select Generic Letter</t>
  </si>
  <si>
    <t>Generic Letter</t>
  </si>
  <si>
    <t>Quote mid term</t>
  </si>
  <si>
    <t>Amended Limit of Liability for Claims Arising Out of Specified Wrongful Acts or Activities Endorsement - Midterm Policy Year Limit Changes</t>
  </si>
  <si>
    <t>County</t>
  </si>
  <si>
    <t>Address line 1</t>
  </si>
  <si>
    <t>Applicant Address</t>
  </si>
  <si>
    <t>45 Camielle Ct, Sedona, AZ, USA</t>
  </si>
  <si>
    <t>Alabama Port, AL 36523, USA</t>
  </si>
  <si>
    <t>Mailing applicant address</t>
  </si>
  <si>
    <t>First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</si>
</sst>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4" borderId="0" xfId="0" applyFill="1"/>
    <xf numFmtId="14" fontId="0" fillId="0" borderId="0" xfId="0" applyNumberFormat="1" applyAlignment="1">
      <alignment horizontal="left"/>
    </xf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2" sqref="A2"/>
    </sheetView>
  </sheetViews>
  <sheetFormatPr defaultRowHeight="15"/>
  <cols>
    <col min="1" max="1" width="29" bestFit="1" customWidth="1"/>
    <col min="2" max="2" width="10.7109375" bestFit="1" customWidth="1"/>
  </cols>
  <sheetData>
    <row r="1" spans="1:2" s="2" customFormat="1">
      <c r="A1" s="2" t="s">
        <v>0</v>
      </c>
      <c r="B1" s="2" t="s">
        <v>1</v>
      </c>
    </row>
    <row r="2" spans="1:2">
      <c r="A2" s="5" t="s">
        <v>5</v>
      </c>
      <c r="B2" t="s">
        <v>2</v>
      </c>
    </row>
    <row r="3" spans="1:2">
      <c r="A3" s="6" t="s">
        <v>17</v>
      </c>
    </row>
    <row r="4" spans="1:2">
      <c r="A4" s="6" t="s">
        <v>19</v>
      </c>
    </row>
    <row r="5" spans="1:2">
      <c r="A5" s="6" t="s">
        <v>22</v>
      </c>
    </row>
    <row r="6" spans="1:2">
      <c r="A6" s="6" t="s">
        <v>23</v>
      </c>
    </row>
    <row r="7" spans="1:2">
      <c r="A7" s="6" t="s">
        <v>19</v>
      </c>
    </row>
    <row r="8" spans="1:2">
      <c r="A8" s="6" t="s">
        <v>29</v>
      </c>
    </row>
    <row r="9" spans="1:2">
      <c r="A9" s="6" t="s">
        <v>24</v>
      </c>
    </row>
    <row r="10" spans="1:2">
      <c r="A10" s="6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3"/>
  <sheetViews>
    <sheetView tabSelected="1" topLeftCell="A220" workbookViewId="0">
      <selection activeCell="B225" sqref="B225"/>
    </sheetView>
  </sheetViews>
  <sheetFormatPr defaultRowHeight="15"/>
  <cols>
    <col min="1" max="1" width="83.28515625" customWidth="1"/>
    <col min="2" max="2" width="31.42578125" style="4" customWidth="1"/>
  </cols>
  <sheetData>
    <row r="1" spans="1:2">
      <c r="A1" s="2" t="s">
        <v>3</v>
      </c>
      <c r="B1" s="3" t="s">
        <v>4</v>
      </c>
    </row>
    <row r="2" spans="1:2">
      <c r="A2" s="1" t="s">
        <v>40</v>
      </c>
    </row>
    <row r="3" spans="1:2">
      <c r="A3" t="s">
        <v>41</v>
      </c>
      <c r="B3" s="4">
        <v>47225</v>
      </c>
    </row>
    <row r="4" spans="1:2">
      <c r="A4" t="s">
        <v>42</v>
      </c>
      <c r="B4" s="4" t="s">
        <v>43</v>
      </c>
    </row>
    <row r="5" spans="1:2">
      <c r="A5" t="s">
        <v>315</v>
      </c>
      <c r="B5" s="4" t="s">
        <v>316</v>
      </c>
    </row>
    <row r="6" spans="1:2">
      <c r="A6" s="1" t="s">
        <v>5</v>
      </c>
    </row>
    <row r="7" spans="1:2">
      <c r="A7" t="s">
        <v>6</v>
      </c>
      <c r="B7" s="4" t="s">
        <v>7</v>
      </c>
    </row>
    <row r="8" spans="1:2">
      <c r="A8" t="s">
        <v>8</v>
      </c>
      <c r="B8" s="4" t="s">
        <v>9</v>
      </c>
    </row>
    <row r="9" spans="1:2">
      <c r="A9" t="s">
        <v>31</v>
      </c>
      <c r="B9" s="4" t="s">
        <v>10</v>
      </c>
    </row>
    <row r="10" spans="1:2">
      <c r="A10" t="s">
        <v>32</v>
      </c>
      <c r="B10" s="4" t="s">
        <v>11</v>
      </c>
    </row>
    <row r="11" spans="1:2">
      <c r="A11" t="s">
        <v>12</v>
      </c>
      <c r="B11" s="4" t="s">
        <v>13</v>
      </c>
    </row>
    <row r="12" spans="1:2">
      <c r="A12" t="s">
        <v>352</v>
      </c>
      <c r="B12" s="4" t="s">
        <v>353</v>
      </c>
    </row>
    <row r="13" spans="1:2">
      <c r="A13" t="s">
        <v>351</v>
      </c>
    </row>
    <row r="14" spans="1:2">
      <c r="A14" t="s">
        <v>14</v>
      </c>
    </row>
    <row r="15" spans="1:2">
      <c r="A15" t="s">
        <v>15</v>
      </c>
      <c r="B15" s="4" t="s">
        <v>311</v>
      </c>
    </row>
    <row r="16" spans="1:2">
      <c r="A16" t="s">
        <v>350</v>
      </c>
    </row>
    <row r="17" spans="1:2">
      <c r="A17" t="s">
        <v>16</v>
      </c>
    </row>
    <row r="18" spans="1:2">
      <c r="A18" t="s">
        <v>44</v>
      </c>
      <c r="B18" s="4" t="s">
        <v>18</v>
      </c>
    </row>
    <row r="19" spans="1:2">
      <c r="A19" t="s">
        <v>355</v>
      </c>
      <c r="B19" s="4" t="s">
        <v>354</v>
      </c>
    </row>
    <row r="20" spans="1:2">
      <c r="A20" t="s">
        <v>47</v>
      </c>
    </row>
    <row r="21" spans="1:2">
      <c r="A21" t="s">
        <v>48</v>
      </c>
    </row>
    <row r="22" spans="1:2">
      <c r="A22" t="s">
        <v>49</v>
      </c>
    </row>
    <row r="23" spans="1:2">
      <c r="A23" t="s">
        <v>45</v>
      </c>
      <c r="B23" s="4">
        <v>2012</v>
      </c>
    </row>
    <row r="24" spans="1:2">
      <c r="A24" t="s">
        <v>229</v>
      </c>
    </row>
    <row r="25" spans="1:2">
      <c r="A25" t="s">
        <v>230</v>
      </c>
    </row>
    <row r="26" spans="1:2">
      <c r="A26" t="s">
        <v>231</v>
      </c>
    </row>
    <row r="27" spans="1:2">
      <c r="A27" t="s">
        <v>232</v>
      </c>
    </row>
    <row r="28" spans="1:2">
      <c r="A28" t="s">
        <v>233</v>
      </c>
    </row>
    <row r="29" spans="1:2">
      <c r="A29" t="s">
        <v>286</v>
      </c>
      <c r="B29" s="9">
        <f ca="1">TODAY()</f>
        <v>45957</v>
      </c>
    </row>
    <row r="30" spans="1:2">
      <c r="A30" t="s">
        <v>46</v>
      </c>
      <c r="B30" s="4" t="s">
        <v>7</v>
      </c>
    </row>
    <row r="31" spans="1:2">
      <c r="A31" s="1" t="s">
        <v>252</v>
      </c>
    </row>
    <row r="32" spans="1:2">
      <c r="A32" t="s">
        <v>234</v>
      </c>
      <c r="B32" s="4" t="s">
        <v>312</v>
      </c>
    </row>
    <row r="33" spans="1:2">
      <c r="A33" t="s">
        <v>235</v>
      </c>
      <c r="B33" s="4" t="s">
        <v>236</v>
      </c>
    </row>
    <row r="34" spans="1:2">
      <c r="A34" t="s">
        <v>236</v>
      </c>
      <c r="B34"/>
    </row>
    <row r="35" spans="1:2">
      <c r="A35" t="s">
        <v>237</v>
      </c>
      <c r="B35" s="4" t="s">
        <v>7</v>
      </c>
    </row>
    <row r="36" spans="1:2">
      <c r="A36" t="s">
        <v>238</v>
      </c>
    </row>
    <row r="37" spans="1:2">
      <c r="A37" t="s">
        <v>239</v>
      </c>
    </row>
    <row r="38" spans="1:2">
      <c r="A38" t="s">
        <v>240</v>
      </c>
    </row>
    <row r="39" spans="1:2">
      <c r="A39" t="s">
        <v>241</v>
      </c>
    </row>
    <row r="40" spans="1:2">
      <c r="A40" t="s">
        <v>242</v>
      </c>
    </row>
    <row r="41" spans="1:2">
      <c r="A41" t="s">
        <v>243</v>
      </c>
    </row>
    <row r="42" spans="1:2">
      <c r="A42" t="s">
        <v>244</v>
      </c>
    </row>
    <row r="43" spans="1:2">
      <c r="A43" t="s">
        <v>245</v>
      </c>
    </row>
    <row r="44" spans="1:2">
      <c r="A44" t="s">
        <v>246</v>
      </c>
    </row>
    <row r="45" spans="1:2">
      <c r="A45" t="s">
        <v>247</v>
      </c>
    </row>
    <row r="46" spans="1:2">
      <c r="A46" t="s">
        <v>248</v>
      </c>
    </row>
    <row r="47" spans="1:2">
      <c r="A47" t="s">
        <v>249</v>
      </c>
    </row>
    <row r="48" spans="1:2">
      <c r="A48" t="s">
        <v>250</v>
      </c>
    </row>
    <row r="49" spans="1:2">
      <c r="A49" t="s">
        <v>251</v>
      </c>
    </row>
    <row r="50" spans="1:2">
      <c r="A50" s="1" t="s">
        <v>51</v>
      </c>
    </row>
    <row r="51" spans="1:2">
      <c r="A51" t="s">
        <v>50</v>
      </c>
      <c r="B51" s="4" t="s">
        <v>227</v>
      </c>
    </row>
    <row r="52" spans="1:2">
      <c r="A52" t="s">
        <v>253</v>
      </c>
    </row>
    <row r="53" spans="1:2">
      <c r="A53" t="s">
        <v>254</v>
      </c>
    </row>
    <row r="54" spans="1:2">
      <c r="A54" t="s">
        <v>52</v>
      </c>
      <c r="B54" s="4">
        <v>75</v>
      </c>
    </row>
    <row r="55" spans="1:2">
      <c r="A55" t="s">
        <v>255</v>
      </c>
      <c r="B55" s="4">
        <v>25</v>
      </c>
    </row>
    <row r="56" spans="1:2">
      <c r="A56" t="s">
        <v>256</v>
      </c>
    </row>
    <row r="57" spans="1:2">
      <c r="A57" t="s">
        <v>257</v>
      </c>
    </row>
    <row r="58" spans="1:2">
      <c r="A58" t="s">
        <v>53</v>
      </c>
    </row>
    <row r="59" spans="1:2">
      <c r="A59" t="s">
        <v>258</v>
      </c>
    </row>
    <row r="60" spans="1:2">
      <c r="A60" t="s">
        <v>259</v>
      </c>
    </row>
    <row r="61" spans="1:2">
      <c r="A61" t="s">
        <v>260</v>
      </c>
    </row>
    <row r="62" spans="1:2">
      <c r="A62" t="s">
        <v>261</v>
      </c>
    </row>
    <row r="63" spans="1:2">
      <c r="A63" t="s">
        <v>228</v>
      </c>
    </row>
    <row r="64" spans="1:2">
      <c r="A64" t="s">
        <v>56</v>
      </c>
    </row>
    <row r="65" spans="1:1">
      <c r="A65" t="s">
        <v>262</v>
      </c>
    </row>
    <row r="66" spans="1:1">
      <c r="A66" t="s">
        <v>263</v>
      </c>
    </row>
    <row r="67" spans="1:1">
      <c r="A67" t="s">
        <v>264</v>
      </c>
    </row>
    <row r="68" spans="1:1">
      <c r="A68" t="s">
        <v>54</v>
      </c>
    </row>
    <row r="69" spans="1:1">
      <c r="A69" t="s">
        <v>265</v>
      </c>
    </row>
    <row r="70" spans="1:1">
      <c r="A70" t="s">
        <v>55</v>
      </c>
    </row>
    <row r="71" spans="1:1">
      <c r="A71" t="s">
        <v>266</v>
      </c>
    </row>
    <row r="72" spans="1:1">
      <c r="A72" t="s">
        <v>267</v>
      </c>
    </row>
    <row r="73" spans="1:1">
      <c r="A73" t="s">
        <v>268</v>
      </c>
    </row>
    <row r="74" spans="1:1">
      <c r="A74" t="s">
        <v>269</v>
      </c>
    </row>
    <row r="75" spans="1:1">
      <c r="A75" t="s">
        <v>270</v>
      </c>
    </row>
    <row r="76" spans="1:1">
      <c r="A76" t="s">
        <v>271</v>
      </c>
    </row>
    <row r="77" spans="1:1">
      <c r="A77" t="s">
        <v>272</v>
      </c>
    </row>
    <row r="78" spans="1:1">
      <c r="A78" t="s">
        <v>273</v>
      </c>
    </row>
    <row r="79" spans="1:1">
      <c r="A79" t="s">
        <v>274</v>
      </c>
    </row>
    <row r="80" spans="1:1">
      <c r="A80" t="s">
        <v>275</v>
      </c>
    </row>
    <row r="81" spans="1:2">
      <c r="A81" t="s">
        <v>276</v>
      </c>
    </row>
    <row r="82" spans="1:2">
      <c r="A82" t="s">
        <v>277</v>
      </c>
    </row>
    <row r="83" spans="1:2">
      <c r="A83" t="s">
        <v>287</v>
      </c>
    </row>
    <row r="84" spans="1:2">
      <c r="A84" t="s">
        <v>278</v>
      </c>
    </row>
    <row r="85" spans="1:2">
      <c r="A85" t="s">
        <v>279</v>
      </c>
    </row>
    <row r="86" spans="1:2">
      <c r="A86" t="s">
        <v>57</v>
      </c>
      <c r="B86" s="4" t="s">
        <v>7</v>
      </c>
    </row>
    <row r="87" spans="1:2">
      <c r="A87" s="1" t="s">
        <v>58</v>
      </c>
    </row>
    <row r="88" spans="1:2">
      <c r="A88" t="s">
        <v>59</v>
      </c>
      <c r="B88"/>
    </row>
    <row r="89" spans="1:2">
      <c r="A89" t="s">
        <v>60</v>
      </c>
      <c r="B89"/>
    </row>
    <row r="90" spans="1:2">
      <c r="A90" t="s">
        <v>61</v>
      </c>
      <c r="B90"/>
    </row>
    <row r="91" spans="1:2">
      <c r="A91" t="s">
        <v>62</v>
      </c>
      <c r="B91"/>
    </row>
    <row r="92" spans="1:2">
      <c r="A92" t="s">
        <v>63</v>
      </c>
      <c r="B92" s="4">
        <v>20</v>
      </c>
    </row>
    <row r="93" spans="1:2">
      <c r="A93" t="s">
        <v>64</v>
      </c>
      <c r="B93" s="4">
        <v>20</v>
      </c>
    </row>
    <row r="94" spans="1:2">
      <c r="A94" t="s">
        <v>65</v>
      </c>
      <c r="B94" s="4">
        <v>20</v>
      </c>
    </row>
    <row r="95" spans="1:2">
      <c r="A95" t="s">
        <v>66</v>
      </c>
      <c r="B95" s="4">
        <v>40</v>
      </c>
    </row>
    <row r="96" spans="1:2">
      <c r="A96" t="s">
        <v>67</v>
      </c>
    </row>
    <row r="97" spans="1:1">
      <c r="A97" t="s">
        <v>68</v>
      </c>
    </row>
    <row r="98" spans="1:1">
      <c r="A98" t="s">
        <v>69</v>
      </c>
    </row>
    <row r="99" spans="1:1">
      <c r="A99" t="s">
        <v>70</v>
      </c>
    </row>
    <row r="100" spans="1:1">
      <c r="A100" t="s">
        <v>71</v>
      </c>
    </row>
    <row r="101" spans="1:1">
      <c r="A101" t="s">
        <v>72</v>
      </c>
    </row>
    <row r="102" spans="1:1">
      <c r="A102" t="s">
        <v>73</v>
      </c>
    </row>
    <row r="103" spans="1:1">
      <c r="A103" t="s">
        <v>74</v>
      </c>
    </row>
    <row r="104" spans="1:1">
      <c r="A104" t="s">
        <v>75</v>
      </c>
    </row>
    <row r="105" spans="1:1">
      <c r="A105" t="s">
        <v>76</v>
      </c>
    </row>
    <row r="106" spans="1:1">
      <c r="A106" t="s">
        <v>77</v>
      </c>
    </row>
    <row r="107" spans="1:1">
      <c r="A107" t="s">
        <v>78</v>
      </c>
    </row>
    <row r="108" spans="1:1">
      <c r="A108" t="s">
        <v>79</v>
      </c>
    </row>
    <row r="109" spans="1:1">
      <c r="A109" t="s">
        <v>80</v>
      </c>
    </row>
    <row r="110" spans="1:1">
      <c r="A110" t="s">
        <v>81</v>
      </c>
    </row>
    <row r="111" spans="1:1">
      <c r="A111" t="s">
        <v>82</v>
      </c>
    </row>
    <row r="112" spans="1:1">
      <c r="A112" t="s">
        <v>83</v>
      </c>
    </row>
    <row r="113" spans="1:1">
      <c r="A113" t="s">
        <v>84</v>
      </c>
    </row>
    <row r="114" spans="1:1">
      <c r="A114" t="s">
        <v>85</v>
      </c>
    </row>
    <row r="115" spans="1:1">
      <c r="A115" t="s">
        <v>33</v>
      </c>
    </row>
    <row r="116" spans="1:1">
      <c r="A116" t="s">
        <v>86</v>
      </c>
    </row>
    <row r="117" spans="1:1">
      <c r="A117" t="s">
        <v>87</v>
      </c>
    </row>
    <row r="118" spans="1:1">
      <c r="A118" t="s">
        <v>88</v>
      </c>
    </row>
    <row r="119" spans="1:1">
      <c r="A119" t="s">
        <v>89</v>
      </c>
    </row>
    <row r="120" spans="1:1">
      <c r="A120" t="s">
        <v>90</v>
      </c>
    </row>
    <row r="121" spans="1:1">
      <c r="A121" t="s">
        <v>91</v>
      </c>
    </row>
    <row r="122" spans="1:1">
      <c r="A122" t="s">
        <v>92</v>
      </c>
    </row>
    <row r="123" spans="1:1">
      <c r="A123" t="s">
        <v>93</v>
      </c>
    </row>
    <row r="124" spans="1:1">
      <c r="A124" t="s">
        <v>94</v>
      </c>
    </row>
    <row r="125" spans="1:1">
      <c r="A125" t="s">
        <v>95</v>
      </c>
    </row>
    <row r="126" spans="1:1">
      <c r="A126" t="s">
        <v>96</v>
      </c>
    </row>
    <row r="127" spans="1:1">
      <c r="A127" t="s">
        <v>97</v>
      </c>
    </row>
    <row r="128" spans="1:1">
      <c r="A128" t="s">
        <v>314</v>
      </c>
    </row>
    <row r="129" spans="1:2">
      <c r="A129" t="s">
        <v>99</v>
      </c>
    </row>
    <row r="130" spans="1:2">
      <c r="A130" s="1" t="s">
        <v>100</v>
      </c>
    </row>
    <row r="131" spans="1:2">
      <c r="A131" t="s">
        <v>101</v>
      </c>
    </row>
    <row r="132" spans="1:2">
      <c r="A132" t="s">
        <v>102</v>
      </c>
    </row>
    <row r="133" spans="1:2">
      <c r="A133" t="s">
        <v>103</v>
      </c>
      <c r="B133" s="4">
        <v>90</v>
      </c>
    </row>
    <row r="134" spans="1:2">
      <c r="A134" t="s">
        <v>104</v>
      </c>
      <c r="B134" s="4">
        <v>10</v>
      </c>
    </row>
    <row r="135" spans="1:2">
      <c r="A135" t="s">
        <v>105</v>
      </c>
    </row>
    <row r="136" spans="1:2">
      <c r="A136" t="s">
        <v>106</v>
      </c>
    </row>
    <row r="137" spans="1:2">
      <c r="A137" t="s">
        <v>107</v>
      </c>
    </row>
    <row r="138" spans="1:2">
      <c r="A138" t="s">
        <v>108</v>
      </c>
    </row>
    <row r="139" spans="1:2">
      <c r="A139" t="s">
        <v>109</v>
      </c>
    </row>
    <row r="140" spans="1:2">
      <c r="A140" t="s">
        <v>110</v>
      </c>
    </row>
    <row r="141" spans="1:2">
      <c r="A141" t="s">
        <v>111</v>
      </c>
    </row>
    <row r="142" spans="1:2">
      <c r="A142" t="s">
        <v>112</v>
      </c>
    </row>
    <row r="143" spans="1:2">
      <c r="A143" t="s">
        <v>113</v>
      </c>
    </row>
    <row r="144" spans="1:2">
      <c r="A144" t="s">
        <v>98</v>
      </c>
    </row>
    <row r="145" spans="1:2">
      <c r="A145" t="s">
        <v>114</v>
      </c>
      <c r="B145" s="4">
        <v>20</v>
      </c>
    </row>
    <row r="146" spans="1:2">
      <c r="A146" s="1" t="s">
        <v>20</v>
      </c>
    </row>
    <row r="147" spans="1:2">
      <c r="A147" s="2" t="s">
        <v>115</v>
      </c>
    </row>
    <row r="148" spans="1:2">
      <c r="A148" t="s">
        <v>120</v>
      </c>
      <c r="B148" s="4">
        <v>1</v>
      </c>
    </row>
    <row r="149" spans="1:2">
      <c r="A149" t="s">
        <v>121</v>
      </c>
    </row>
    <row r="150" spans="1:2">
      <c r="A150" s="2" t="s">
        <v>116</v>
      </c>
    </row>
    <row r="151" spans="1:2">
      <c r="A151" t="s">
        <v>122</v>
      </c>
    </row>
    <row r="152" spans="1:2">
      <c r="A152" t="s">
        <v>123</v>
      </c>
    </row>
    <row r="153" spans="1:2">
      <c r="A153" s="2" t="s">
        <v>117</v>
      </c>
    </row>
    <row r="154" spans="1:2">
      <c r="A154" t="s">
        <v>124</v>
      </c>
      <c r="B154" s="4">
        <v>1</v>
      </c>
    </row>
    <row r="155" spans="1:2">
      <c r="A155" t="s">
        <v>125</v>
      </c>
      <c r="B155" s="4">
        <v>1</v>
      </c>
    </row>
    <row r="156" spans="1:2">
      <c r="A156" s="2" t="s">
        <v>118</v>
      </c>
    </row>
    <row r="157" spans="1:2">
      <c r="A157" t="s">
        <v>126</v>
      </c>
    </row>
    <row r="158" spans="1:2">
      <c r="A158" t="s">
        <v>127</v>
      </c>
    </row>
    <row r="159" spans="1:2">
      <c r="A159" s="2" t="s">
        <v>21</v>
      </c>
    </row>
    <row r="160" spans="1:2">
      <c r="A160" t="s">
        <v>128</v>
      </c>
    </row>
    <row r="161" spans="1:2">
      <c r="A161" t="s">
        <v>129</v>
      </c>
    </row>
    <row r="162" spans="1:2">
      <c r="A162" t="s">
        <v>119</v>
      </c>
      <c r="B162" s="4" t="s">
        <v>7</v>
      </c>
    </row>
    <row r="163" spans="1:2">
      <c r="A163" s="1" t="s">
        <v>130</v>
      </c>
    </row>
    <row r="164" spans="1:2">
      <c r="A164" s="8" t="s">
        <v>280</v>
      </c>
    </row>
    <row r="165" spans="1:2">
      <c r="A165" t="s">
        <v>300</v>
      </c>
      <c r="B165" s="9">
        <f ca="1">B29-365</f>
        <v>45592</v>
      </c>
    </row>
    <row r="166" spans="1:2">
      <c r="A166" t="s">
        <v>281</v>
      </c>
    </row>
    <row r="167" spans="1:2">
      <c r="A167" t="s">
        <v>291</v>
      </c>
      <c r="B167" s="4">
        <v>20000</v>
      </c>
    </row>
    <row r="168" spans="1:2">
      <c r="A168" t="s">
        <v>288</v>
      </c>
    </row>
    <row r="169" spans="1:2">
      <c r="A169" t="s">
        <v>282</v>
      </c>
    </row>
    <row r="170" spans="1:2">
      <c r="A170" t="s">
        <v>292</v>
      </c>
    </row>
    <row r="171" spans="1:2">
      <c r="A171" t="s">
        <v>293</v>
      </c>
    </row>
    <row r="172" spans="1:2">
      <c r="A172" t="s">
        <v>294</v>
      </c>
    </row>
    <row r="173" spans="1:2">
      <c r="A173" t="s">
        <v>295</v>
      </c>
    </row>
    <row r="174" spans="1:2">
      <c r="A174" s="8" t="s">
        <v>283</v>
      </c>
    </row>
    <row r="175" spans="1:2">
      <c r="A175" t="s">
        <v>301</v>
      </c>
      <c r="B175" s="9">
        <f ca="1">B29</f>
        <v>45957</v>
      </c>
    </row>
    <row r="176" spans="1:2">
      <c r="A176" t="s">
        <v>281</v>
      </c>
    </row>
    <row r="177" spans="1:2">
      <c r="A177" t="s">
        <v>290</v>
      </c>
      <c r="B177" s="4">
        <v>25000</v>
      </c>
    </row>
    <row r="178" spans="1:2">
      <c r="A178" t="s">
        <v>289</v>
      </c>
      <c r="B178"/>
    </row>
    <row r="179" spans="1:2">
      <c r="A179" t="s">
        <v>282</v>
      </c>
    </row>
    <row r="180" spans="1:2">
      <c r="A180" t="s">
        <v>296</v>
      </c>
    </row>
    <row r="181" spans="1:2">
      <c r="A181" t="s">
        <v>297</v>
      </c>
    </row>
    <row r="182" spans="1:2">
      <c r="A182" t="s">
        <v>298</v>
      </c>
    </row>
    <row r="183" spans="1:2">
      <c r="A183" t="s">
        <v>299</v>
      </c>
    </row>
    <row r="184" spans="1:2">
      <c r="A184" t="s">
        <v>131</v>
      </c>
      <c r="B184" s="4" t="s">
        <v>7</v>
      </c>
    </row>
    <row r="185" spans="1:2">
      <c r="A185" s="1" t="s">
        <v>132</v>
      </c>
    </row>
    <row r="186" spans="1:2">
      <c r="A186" t="s">
        <v>133</v>
      </c>
      <c r="B186" s="4" t="s">
        <v>7</v>
      </c>
    </row>
    <row r="187" spans="1:2">
      <c r="A187" t="s">
        <v>303</v>
      </c>
      <c r="B187" s="4" t="s">
        <v>313</v>
      </c>
    </row>
    <row r="188" spans="1:2">
      <c r="A188" t="s">
        <v>134</v>
      </c>
      <c r="B188" s="4" t="s">
        <v>7</v>
      </c>
    </row>
    <row r="189" spans="1:2">
      <c r="A189" t="s">
        <v>304</v>
      </c>
      <c r="B189" s="4" t="s">
        <v>313</v>
      </c>
    </row>
    <row r="190" spans="1:2">
      <c r="A190" t="s">
        <v>135</v>
      </c>
      <c r="B190" s="4" t="s">
        <v>7</v>
      </c>
    </row>
    <row r="191" spans="1:2">
      <c r="A191" t="s">
        <v>302</v>
      </c>
      <c r="B191" s="4" t="s">
        <v>313</v>
      </c>
    </row>
    <row r="192" spans="1:2">
      <c r="A192" t="s">
        <v>136</v>
      </c>
      <c r="B192" s="4" t="s">
        <v>7</v>
      </c>
    </row>
    <row r="193" spans="1:2">
      <c r="A193" t="s">
        <v>305</v>
      </c>
      <c r="B193" s="4" t="s">
        <v>313</v>
      </c>
    </row>
    <row r="194" spans="1:2">
      <c r="A194" t="s">
        <v>138</v>
      </c>
      <c r="B194" s="4" t="s">
        <v>7</v>
      </c>
    </row>
    <row r="195" spans="1:2">
      <c r="A195" t="s">
        <v>306</v>
      </c>
      <c r="B195" s="4" t="s">
        <v>313</v>
      </c>
    </row>
    <row r="196" spans="1:2">
      <c r="A196" t="s">
        <v>137</v>
      </c>
      <c r="B196" s="4" t="s">
        <v>7</v>
      </c>
    </row>
    <row r="197" spans="1:2">
      <c r="A197" t="s">
        <v>307</v>
      </c>
      <c r="B197" s="4" t="s">
        <v>313</v>
      </c>
    </row>
    <row r="198" spans="1:2">
      <c r="A198" t="s">
        <v>139</v>
      </c>
      <c r="B198" s="4" t="s">
        <v>7</v>
      </c>
    </row>
    <row r="199" spans="1:2">
      <c r="A199" t="s">
        <v>308</v>
      </c>
      <c r="B199" s="4" t="s">
        <v>313</v>
      </c>
    </row>
    <row r="200" spans="1:2">
      <c r="A200" t="s">
        <v>284</v>
      </c>
      <c r="B200" s="9">
        <f ca="1">TODAY()</f>
        <v>45957</v>
      </c>
    </row>
    <row r="201" spans="1:2">
      <c r="A201" t="s">
        <v>285</v>
      </c>
      <c r="B201" s="4" t="s">
        <v>313</v>
      </c>
    </row>
    <row r="202" spans="1:2">
      <c r="A202" t="s">
        <v>140</v>
      </c>
      <c r="B202" s="4" t="s">
        <v>7</v>
      </c>
    </row>
    <row r="203" spans="1:2">
      <c r="A203" t="s">
        <v>309</v>
      </c>
      <c r="B203" s="4" t="s">
        <v>313</v>
      </c>
    </row>
    <row r="204" spans="1:2">
      <c r="A204" t="s">
        <v>141</v>
      </c>
      <c r="B204" s="4" t="s">
        <v>7</v>
      </c>
    </row>
    <row r="205" spans="1:2">
      <c r="A205" t="s">
        <v>310</v>
      </c>
      <c r="B205" s="4" t="s">
        <v>313</v>
      </c>
    </row>
    <row r="206" spans="1:2">
      <c r="A206" s="1" t="s">
        <v>142</v>
      </c>
    </row>
    <row r="207" spans="1:2">
      <c r="A207" t="s">
        <v>143</v>
      </c>
      <c r="B207" s="4" t="s">
        <v>7</v>
      </c>
    </row>
    <row r="208" spans="1:2">
      <c r="A208" t="s">
        <v>144</v>
      </c>
      <c r="B208" s="4" t="s">
        <v>7</v>
      </c>
    </row>
    <row r="209" spans="1:2">
      <c r="A209" t="s">
        <v>145</v>
      </c>
      <c r="B209" s="4" t="s">
        <v>7</v>
      </c>
    </row>
    <row r="210" spans="1:2">
      <c r="A210" t="s">
        <v>146</v>
      </c>
      <c r="B210" s="4" t="s">
        <v>7</v>
      </c>
    </row>
    <row r="211" spans="1:2">
      <c r="A211" t="s">
        <v>147</v>
      </c>
      <c r="B211" s="4" t="s">
        <v>7</v>
      </c>
    </row>
    <row r="212" spans="1:2">
      <c r="A212" t="s">
        <v>148</v>
      </c>
      <c r="B212" s="4" t="s">
        <v>7</v>
      </c>
    </row>
    <row r="213" spans="1:2">
      <c r="A213" t="s">
        <v>149</v>
      </c>
      <c r="B213" s="4" t="s">
        <v>7</v>
      </c>
    </row>
    <row r="214" spans="1:2">
      <c r="A214" t="s">
        <v>150</v>
      </c>
      <c r="B214" s="4" t="s">
        <v>7</v>
      </c>
    </row>
    <row r="215" spans="1:2">
      <c r="A215" t="s">
        <v>151</v>
      </c>
      <c r="B215" s="4" t="s">
        <v>7</v>
      </c>
    </row>
    <row r="216" spans="1:2">
      <c r="A216" t="s">
        <v>152</v>
      </c>
      <c r="B216" s="4" t="s">
        <v>7</v>
      </c>
    </row>
    <row r="217" spans="1:2">
      <c r="A217" t="s">
        <v>153</v>
      </c>
      <c r="B217" s="4" t="s">
        <v>7</v>
      </c>
    </row>
    <row r="218" spans="1:2">
      <c r="A218" t="s">
        <v>154</v>
      </c>
      <c r="B218" s="4" t="s">
        <v>7</v>
      </c>
    </row>
    <row r="219" spans="1:2">
      <c r="A219" s="1" t="s">
        <v>22</v>
      </c>
    </row>
    <row r="220" spans="1:2">
      <c r="A220" t="s">
        <v>155</v>
      </c>
      <c r="B220" s="4" t="s">
        <v>7</v>
      </c>
    </row>
    <row r="221" spans="1:2">
      <c r="A221" t="s">
        <v>34</v>
      </c>
      <c r="B221" s="9">
        <f ca="1">TODAY()</f>
        <v>45957</v>
      </c>
    </row>
    <row r="222" spans="1:2">
      <c r="A222" t="s">
        <v>158</v>
      </c>
      <c r="B222" s="4">
        <v>1000</v>
      </c>
    </row>
    <row r="223" spans="1:2">
      <c r="A223" t="s">
        <v>35</v>
      </c>
      <c r="B223" s="9">
        <f ca="1">TODAY()</f>
        <v>45957</v>
      </c>
    </row>
    <row r="224" spans="1:2">
      <c r="A224" t="s">
        <v>36</v>
      </c>
      <c r="B224" s="15" t="s">
        <v>21</v>
      </c>
    </row>
    <row r="225" spans="1:2">
      <c r="A225" t="s">
        <v>37</v>
      </c>
      <c r="B225" s="4">
        <v>2000</v>
      </c>
    </row>
    <row r="226" spans="1:2">
      <c r="A226" t="s">
        <v>156</v>
      </c>
      <c r="B226" s="4">
        <v>2000</v>
      </c>
    </row>
    <row r="227" spans="1:2">
      <c r="A227" t="s">
        <v>38</v>
      </c>
      <c r="B227" s="4">
        <v>1000</v>
      </c>
    </row>
    <row r="228" spans="1:2">
      <c r="A228" t="s">
        <v>157</v>
      </c>
      <c r="B228" s="4">
        <v>1000</v>
      </c>
    </row>
    <row r="229" spans="1:2">
      <c r="A229" t="s">
        <v>165</v>
      </c>
      <c r="B229" s="4" t="s">
        <v>356</v>
      </c>
    </row>
    <row r="230" spans="1:2">
      <c r="A230" t="s">
        <v>159</v>
      </c>
    </row>
    <row r="231" spans="1:2">
      <c r="A231" t="s">
        <v>160</v>
      </c>
    </row>
    <row r="232" spans="1:2">
      <c r="A232" t="s">
        <v>161</v>
      </c>
    </row>
    <row r="233" spans="1:2">
      <c r="A233" t="s">
        <v>162</v>
      </c>
    </row>
    <row r="234" spans="1:2">
      <c r="A234" t="s">
        <v>163</v>
      </c>
    </row>
    <row r="235" spans="1:2">
      <c r="A235" t="s">
        <v>164</v>
      </c>
    </row>
    <row r="236" spans="1:2">
      <c r="A236" t="s">
        <v>166</v>
      </c>
    </row>
    <row r="237" spans="1:2">
      <c r="A237" t="s">
        <v>167</v>
      </c>
      <c r="B237" s="4" t="s">
        <v>7</v>
      </c>
    </row>
    <row r="238" spans="1:2">
      <c r="A238" s="1" t="s">
        <v>19</v>
      </c>
    </row>
    <row r="239" spans="1:2">
      <c r="A239" t="s">
        <v>168</v>
      </c>
      <c r="B239" s="4" t="s">
        <v>18</v>
      </c>
    </row>
    <row r="240" spans="1:2">
      <c r="A240" t="s">
        <v>169</v>
      </c>
    </row>
    <row r="241" spans="1:2">
      <c r="A241" t="s">
        <v>170</v>
      </c>
    </row>
    <row r="242" spans="1:2">
      <c r="A242" t="s">
        <v>176</v>
      </c>
    </row>
    <row r="243" spans="1:2">
      <c r="A243" t="s">
        <v>171</v>
      </c>
    </row>
    <row r="244" spans="1:2">
      <c r="A244" t="s">
        <v>172</v>
      </c>
    </row>
    <row r="245" spans="1:2">
      <c r="A245" t="s">
        <v>173</v>
      </c>
    </row>
    <row r="246" spans="1:2">
      <c r="A246" t="s">
        <v>174</v>
      </c>
      <c r="B246" s="4" t="s">
        <v>18</v>
      </c>
    </row>
    <row r="247" spans="1:2">
      <c r="A247" t="s">
        <v>175</v>
      </c>
    </row>
    <row r="248" spans="1:2">
      <c r="A248" t="s">
        <v>177</v>
      </c>
    </row>
    <row r="249" spans="1:2">
      <c r="A249" t="s">
        <v>178</v>
      </c>
    </row>
    <row r="250" spans="1:2">
      <c r="A250" t="s">
        <v>179</v>
      </c>
    </row>
    <row r="251" spans="1:2">
      <c r="A251" s="1" t="s">
        <v>39</v>
      </c>
    </row>
    <row r="252" spans="1:2">
      <c r="A252" t="s">
        <v>180</v>
      </c>
      <c r="B252" s="4">
        <v>25</v>
      </c>
    </row>
    <row r="253" spans="1:2">
      <c r="A253" t="s">
        <v>220</v>
      </c>
      <c r="B253" s="4" t="s">
        <v>18</v>
      </c>
    </row>
    <row r="254" spans="1:2">
      <c r="A254" t="s">
        <v>221</v>
      </c>
      <c r="B254" s="4" t="s">
        <v>18</v>
      </c>
    </row>
    <row r="255" spans="1:2">
      <c r="A255" t="s">
        <v>222</v>
      </c>
      <c r="B255" s="4" t="s">
        <v>18</v>
      </c>
    </row>
    <row r="256" spans="1:2">
      <c r="A256" t="s">
        <v>181</v>
      </c>
    </row>
    <row r="257" spans="1:1">
      <c r="A257" t="s">
        <v>182</v>
      </c>
    </row>
    <row r="258" spans="1:1">
      <c r="A258" t="s">
        <v>183</v>
      </c>
    </row>
    <row r="259" spans="1:1">
      <c r="A259" t="s">
        <v>184</v>
      </c>
    </row>
    <row r="260" spans="1:1">
      <c r="A260" t="s">
        <v>185</v>
      </c>
    </row>
    <row r="261" spans="1:1">
      <c r="A261" t="s">
        <v>186</v>
      </c>
    </row>
    <row r="262" spans="1:1">
      <c r="A262" t="s">
        <v>187</v>
      </c>
    </row>
    <row r="263" spans="1:1">
      <c r="A263" t="s">
        <v>188</v>
      </c>
    </row>
    <row r="264" spans="1:1">
      <c r="A264" t="s">
        <v>189</v>
      </c>
    </row>
    <row r="265" spans="1:1">
      <c r="A265" t="s">
        <v>190</v>
      </c>
    </row>
    <row r="266" spans="1:1">
      <c r="A266" t="s">
        <v>191</v>
      </c>
    </row>
    <row r="267" spans="1:1">
      <c r="A267" t="s">
        <v>192</v>
      </c>
    </row>
    <row r="268" spans="1:1">
      <c r="A268" t="s">
        <v>193</v>
      </c>
    </row>
    <row r="269" spans="1:1">
      <c r="A269" t="s">
        <v>194</v>
      </c>
    </row>
    <row r="270" spans="1:1">
      <c r="A270" t="s">
        <v>195</v>
      </c>
    </row>
    <row r="271" spans="1:1">
      <c r="A271" t="s">
        <v>196</v>
      </c>
    </row>
    <row r="272" spans="1:1">
      <c r="A272" t="s">
        <v>197</v>
      </c>
    </row>
    <row r="273" spans="1:1">
      <c r="A273" t="s">
        <v>198</v>
      </c>
    </row>
    <row r="274" spans="1:1">
      <c r="A274" s="7" t="s">
        <v>199</v>
      </c>
    </row>
    <row r="275" spans="1:1">
      <c r="A275" s="7" t="s">
        <v>200</v>
      </c>
    </row>
    <row r="276" spans="1:1">
      <c r="A276" s="7" t="s">
        <v>201</v>
      </c>
    </row>
    <row r="277" spans="1:1">
      <c r="A277" s="7" t="s">
        <v>202</v>
      </c>
    </row>
    <row r="278" spans="1:1">
      <c r="A278" s="7" t="s">
        <v>203</v>
      </c>
    </row>
    <row r="279" spans="1:1">
      <c r="A279" s="7" t="s">
        <v>204</v>
      </c>
    </row>
    <row r="280" spans="1:1">
      <c r="A280" s="7" t="s">
        <v>205</v>
      </c>
    </row>
    <row r="281" spans="1:1">
      <c r="A281" s="7" t="s">
        <v>206</v>
      </c>
    </row>
    <row r="282" spans="1:1">
      <c r="A282" s="7" t="s">
        <v>207</v>
      </c>
    </row>
    <row r="283" spans="1:1">
      <c r="A283" s="7" t="s">
        <v>208</v>
      </c>
    </row>
    <row r="284" spans="1:1">
      <c r="A284" s="7" t="s">
        <v>209</v>
      </c>
    </row>
    <row r="285" spans="1:1">
      <c r="A285" s="7" t="s">
        <v>210</v>
      </c>
    </row>
    <row r="286" spans="1:1">
      <c r="A286" s="7" t="s">
        <v>211</v>
      </c>
    </row>
    <row r="287" spans="1:1">
      <c r="A287" s="7" t="s">
        <v>212</v>
      </c>
    </row>
    <row r="288" spans="1:1">
      <c r="A288" s="7" t="s">
        <v>213</v>
      </c>
    </row>
    <row r="289" spans="1:2">
      <c r="A289" s="7" t="s">
        <v>214</v>
      </c>
    </row>
    <row r="290" spans="1:2">
      <c r="A290" s="7" t="s">
        <v>215</v>
      </c>
    </row>
    <row r="291" spans="1:2">
      <c r="A291" s="7" t="s">
        <v>216</v>
      </c>
    </row>
    <row r="292" spans="1:2">
      <c r="A292" s="7" t="s">
        <v>217</v>
      </c>
    </row>
    <row r="293" spans="1:2">
      <c r="A293" s="7" t="s">
        <v>218</v>
      </c>
    </row>
    <row r="294" spans="1:2">
      <c r="A294" s="7" t="s">
        <v>219</v>
      </c>
    </row>
    <row r="295" spans="1:2">
      <c r="A295" s="1" t="s">
        <v>223</v>
      </c>
    </row>
    <row r="296" spans="1:2">
      <c r="A296" t="s">
        <v>224</v>
      </c>
      <c r="B296" s="4">
        <v>1</v>
      </c>
    </row>
    <row r="297" spans="1:2">
      <c r="A297" s="1" t="s">
        <v>225</v>
      </c>
    </row>
    <row r="298" spans="1:2">
      <c r="A298" t="s">
        <v>25</v>
      </c>
      <c r="B298" s="4" t="s">
        <v>26</v>
      </c>
    </row>
    <row r="299" spans="1:2">
      <c r="A299" t="s">
        <v>27</v>
      </c>
      <c r="B299" s="4" t="s">
        <v>28</v>
      </c>
    </row>
    <row r="300" spans="1:2">
      <c r="A300" t="s">
        <v>226</v>
      </c>
      <c r="B300" s="4" t="s">
        <v>7</v>
      </c>
    </row>
    <row r="301" spans="1:2">
      <c r="A301" s="10" t="s">
        <v>317</v>
      </c>
      <c r="B301" s="11"/>
    </row>
    <row r="302" spans="1:2">
      <c r="A302" s="12" t="s">
        <v>318</v>
      </c>
      <c r="B302" s="11" t="s">
        <v>340</v>
      </c>
    </row>
    <row r="303" spans="1:2">
      <c r="A303" s="12" t="s">
        <v>319</v>
      </c>
      <c r="B303" s="11" t="s">
        <v>21</v>
      </c>
    </row>
    <row r="304" spans="1:2">
      <c r="A304" s="10" t="s">
        <v>320</v>
      </c>
      <c r="B304" s="11"/>
    </row>
    <row r="305" spans="1:3">
      <c r="A305" s="12" t="s">
        <v>321</v>
      </c>
      <c r="B305" s="11">
        <v>3000</v>
      </c>
    </row>
    <row r="306" spans="1:3">
      <c r="A306" s="12" t="s">
        <v>322</v>
      </c>
      <c r="B306" s="11">
        <v>3000</v>
      </c>
    </row>
    <row r="307" spans="1:3">
      <c r="A307" s="12" t="s">
        <v>323</v>
      </c>
      <c r="B307" s="11">
        <v>1</v>
      </c>
    </row>
    <row r="308" spans="1:3">
      <c r="A308" s="10" t="s">
        <v>324</v>
      </c>
      <c r="B308" s="11"/>
    </row>
    <row r="309" spans="1:3">
      <c r="A309" s="13" t="s">
        <v>325</v>
      </c>
      <c r="B309" s="11" t="s">
        <v>349</v>
      </c>
      <c r="C309" s="11" t="s">
        <v>343</v>
      </c>
    </row>
    <row r="310" spans="1:3">
      <c r="A310" s="13" t="s">
        <v>326</v>
      </c>
      <c r="B310" s="11" t="s">
        <v>344</v>
      </c>
    </row>
    <row r="311" spans="1:3">
      <c r="A311" s="13" t="s">
        <v>327</v>
      </c>
      <c r="B311" s="11" t="s">
        <v>341</v>
      </c>
    </row>
    <row r="312" spans="1:3">
      <c r="A312" s="13" t="s">
        <v>328</v>
      </c>
      <c r="B312" s="11">
        <v>465</v>
      </c>
    </row>
    <row r="313" spans="1:3">
      <c r="A313" s="13" t="s">
        <v>329</v>
      </c>
      <c r="B313" s="11"/>
    </row>
    <row r="314" spans="1:3">
      <c r="A314" s="13" t="s">
        <v>330</v>
      </c>
      <c r="B314" s="11" t="s">
        <v>331</v>
      </c>
    </row>
    <row r="315" spans="1:3">
      <c r="A315" s="13" t="s">
        <v>332</v>
      </c>
      <c r="B315" s="11" t="s">
        <v>333</v>
      </c>
    </row>
    <row r="316" spans="1:3">
      <c r="A316" s="13" t="s">
        <v>334</v>
      </c>
      <c r="B316" s="14" t="s">
        <v>335</v>
      </c>
    </row>
    <row r="317" spans="1:3">
      <c r="A317" s="13" t="s">
        <v>336</v>
      </c>
      <c r="B317" s="14" t="s">
        <v>342</v>
      </c>
    </row>
    <row r="318" spans="1:3">
      <c r="A318" s="13" t="s">
        <v>337</v>
      </c>
      <c r="B318" s="14" t="s">
        <v>338</v>
      </c>
    </row>
    <row r="319" spans="1:3">
      <c r="A319" s="13" t="s">
        <v>345</v>
      </c>
      <c r="B319" s="14" t="s">
        <v>347</v>
      </c>
    </row>
    <row r="320" spans="1:3">
      <c r="A320" s="13" t="s">
        <v>339</v>
      </c>
      <c r="B320" s="14" t="s">
        <v>338</v>
      </c>
    </row>
    <row r="321" spans="1:2">
      <c r="A321" s="13" t="s">
        <v>346</v>
      </c>
      <c r="B321" s="14" t="s">
        <v>348</v>
      </c>
    </row>
    <row r="322" spans="1:2">
      <c r="A322" s="2"/>
    </row>
    <row r="323" spans="1:2">
      <c r="A3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2025-10-27T12:55:14Z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