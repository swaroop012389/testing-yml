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victor-us-smoke-test-automation\Test Data\Regression\TMS\TMS_MGMT_NON_PROFIT\"/>
    </mc:Choice>
  </mc:AlternateContent>
  <xr:revisionPtr revIDLastSave="0" documentId="13_ncr:1_{8AC1E2CF-8F08-4D39-B9BD-BB09416888E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xecution" sheetId="2" r:id="rId1"/>
    <sheet name="Sheet2" sheetId="4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G11" i="4"/>
  <c r="G12" i="4"/>
  <c r="G13" i="4"/>
  <c r="F17" i="4"/>
  <c r="G8" i="4"/>
  <c r="E17" i="4"/>
  <c r="G17" i="4" s="1"/>
  <c r="G3" i="4"/>
  <c r="G4" i="4"/>
  <c r="G5" i="4"/>
  <c r="G6" i="4"/>
  <c r="G2" i="4"/>
  <c r="G14" i="4"/>
  <c r="G15" i="4"/>
  <c r="G16" i="4"/>
  <c r="G9" i="4"/>
</calcChain>
</file>

<file path=xl/sharedStrings.xml><?xml version="1.0" encoding="utf-8"?>
<sst xmlns="http://schemas.openxmlformats.org/spreadsheetml/2006/main" count="75" uniqueCount="67">
  <si>
    <t>Execute</t>
  </si>
  <si>
    <t>Test case</t>
  </si>
  <si>
    <t>Test Name</t>
  </si>
  <si>
    <t>RRUR Declined by Client Express</t>
  </si>
  <si>
    <t>RRUR Declined by Carrier Express</t>
  </si>
  <si>
    <t>Fri</t>
  </si>
  <si>
    <t>TC_TMS_MGMT_NFP_022</t>
  </si>
  <si>
    <t>TC_TMS_MGMT_NFP_024</t>
  </si>
  <si>
    <t>TC_TMS_MGMT_NFP_030</t>
  </si>
  <si>
    <t>Bound Not Issued Quoted_Guided</t>
  </si>
  <si>
    <t>Sr. No.</t>
  </si>
  <si>
    <t>Program</t>
  </si>
  <si>
    <t>No. Of Test Cases</t>
  </si>
  <si>
    <t>No. Of Test Cases Completed</t>
  </si>
  <si>
    <t>No. Of Test Cases Passed</t>
  </si>
  <si>
    <t>No. Of Test Cases Failed</t>
  </si>
  <si>
    <t>Percent Test Cases Passed</t>
  </si>
  <si>
    <t>Architects Engineers &amp; Consultants</t>
  </si>
  <si>
    <t>Builders Risk</t>
  </si>
  <si>
    <t>Cyber</t>
  </si>
  <si>
    <t>Individual Appraisers</t>
  </si>
  <si>
    <t>K&amp;R</t>
  </si>
  <si>
    <t>Private Management Liability</t>
  </si>
  <si>
    <t>Real Estate</t>
  </si>
  <si>
    <t>Contractors Equipment</t>
  </si>
  <si>
    <t>TMS Real Estate</t>
  </si>
  <si>
    <t>TMS SAE</t>
  </si>
  <si>
    <t>TMS MGMT-LIAB_NON-PROFIT</t>
  </si>
  <si>
    <t>TMS Cyber</t>
  </si>
  <si>
    <t>Total</t>
  </si>
  <si>
    <t>Raven</t>
  </si>
  <si>
    <t>Yes</t>
  </si>
  <si>
    <t>Test Case Number</t>
  </si>
  <si>
    <t>Test Case Name</t>
  </si>
  <si>
    <t>Work ID</t>
  </si>
  <si>
    <t>Policy Number</t>
  </si>
  <si>
    <t>Status</t>
  </si>
  <si>
    <t>Result</t>
  </si>
  <si>
    <t>Policy Issued</t>
  </si>
  <si>
    <t>Pass</t>
  </si>
  <si>
    <t>Non-Profit Management Liability</t>
  </si>
  <si>
    <t>No</t>
  </si>
  <si>
    <t>Storage Tank</t>
  </si>
  <si>
    <t xml:space="preserve">Line of Business </t>
  </si>
  <si>
    <t>BUG ID</t>
  </si>
  <si>
    <t>Sr. NO.</t>
  </si>
  <si>
    <t>Bug 2023171: Continue button on the Issue policy page is disabled-Cyber</t>
  </si>
  <si>
    <t>Non Profit Management Liability</t>
  </si>
  <si>
    <t>Bug 2023183: Continue button on the Issue Binder page is disabled-NFP</t>
  </si>
  <si>
    <t>Bug 2023201: Save and continue button is disabled If logged in as a broker- MGMT Private</t>
  </si>
  <si>
    <t>Private management Liability</t>
  </si>
  <si>
    <t>Bug 2023215: Document is not uploading- CE</t>
  </si>
  <si>
    <t>Bug 2023221: save and continue is getting disabled for ST</t>
  </si>
  <si>
    <t>Comments</t>
  </si>
  <si>
    <t>TC_CY_001</t>
  </si>
  <si>
    <t>TC_CY_002</t>
  </si>
  <si>
    <t>TC_CY_003</t>
  </si>
  <si>
    <t>Error</t>
  </si>
  <si>
    <t>TC_CE_001</t>
  </si>
  <si>
    <t>Pieces_1 to 5_Cranes &amp; Derricks_1k Deductible</t>
  </si>
  <si>
    <t>47VCE00031801</t>
  </si>
  <si>
    <t>TC_CE_002</t>
  </si>
  <si>
    <t>Pieces_1 to 5_Waterborne 2.5K Deductible</t>
  </si>
  <si>
    <t>47VCE00031701</t>
  </si>
  <si>
    <t>TC_CE_003</t>
  </si>
  <si>
    <t>Pieces_6 to 20_Claims_2.5k Deductible</t>
  </si>
  <si>
    <t>47VCE00031901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</si>
</sst>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92D05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sz val="12"/>
      <color theme="1"/>
      <name val="Aptos"/>
      <family val="2"/>
    </font>
    <font>
      <b/>
      <sz val="11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/>
    <xf numFmtId="0" fontId="0" fillId="2" borderId="1" xfId="0" applyFill="1" applyBorder="1"/>
    <xf numFmtId="0" fontId="3" fillId="0" borderId="3" xfId="0" applyFont="1" applyBorder="1" applyAlignment="1">
      <alignment horizontal="center" vertical="center"/>
    </xf>
    <xf numFmtId="0" fontId="4" fillId="0" borderId="0" xfId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9" fontId="6" fillId="0" borderId="4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9" fontId="6" fillId="0" borderId="5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9" fontId="2" fillId="4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1" applyBorder="1" applyAlignment="1">
      <alignment horizontal="left" vertical="center"/>
    </xf>
    <xf numFmtId="0" fontId="4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3" xfId="1" applyBorder="1" applyAlignment="1">
      <alignment wrapText="1"/>
    </xf>
    <xf numFmtId="0" fontId="4" fillId="0" borderId="3" xfId="1" applyBorder="1" applyAlignment="1">
      <alignment horizontal="left" wrapText="1"/>
    </xf>
    <xf numFmtId="0" fontId="8" fillId="7" borderId="1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vertical="center" wrapText="1"/>
    </xf>
    <xf numFmtId="0" fontId="8" fillId="7" borderId="16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7" borderId="1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7" borderId="4" xfId="0" applyFont="1" applyFill="1" applyBorder="1" applyAlignment="1">
      <alignment vertical="center" wrapText="1"/>
    </xf>
    <xf numFmtId="0" fontId="4" fillId="0" borderId="5" xfId="1" applyBorder="1" applyAlignment="1">
      <alignment vertical="center" wrapText="1"/>
    </xf>
    <xf numFmtId="0" fontId="12" fillId="4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mmctech/Victor-US-UM-BAU/_workitems/edit/2023201" TargetMode="External"/><Relationship Id="rId2" Type="http://schemas.openxmlformats.org/officeDocument/2006/relationships/hyperlink" Target="https://dev.azure.com/mmctech/Victor-US-UM-BAU/_workitems/edit/2023183" TargetMode="External"/><Relationship Id="rId1" Type="http://schemas.openxmlformats.org/officeDocument/2006/relationships/hyperlink" Target="https://dev.azure.com/mmctech/Victor-US-UM-BAU/_workitems/edit/2023171" TargetMode="External"/><Relationship Id="rId5" Type="http://schemas.openxmlformats.org/officeDocument/2006/relationships/hyperlink" Target="https://dev.azure.com/mmctech/Victor-US-UM-BAU/_workitems/edit/2023221" TargetMode="External"/><Relationship Id="rId4" Type="http://schemas.openxmlformats.org/officeDocument/2006/relationships/hyperlink" Target="https://dev.azure.com/mmctech/Victor-US-UM-BAU/_workitems/edit/2023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zoomScaleNormal="100" workbookViewId="0">
      <selection activeCell="C4" sqref="C4"/>
    </sheetView>
  </sheetViews>
  <sheetFormatPr defaultRowHeight="15" x14ac:dyDescent="0.25"/>
  <cols>
    <col min="1" max="1" width="23.5703125" bestFit="1" customWidth="1"/>
    <col min="2" max="2" width="53.28515625" customWidth="1"/>
    <col min="3" max="3" width="8.140625" customWidth="1"/>
    <col min="4" max="5" width="19.140625" style="4" customWidth="1"/>
    <col min="6" max="6" width="15" bestFit="1" customWidth="1"/>
    <col min="9" max="9" width="19" customWidth="1"/>
    <col min="10" max="10" width="20.42578125" customWidth="1"/>
    <col min="11" max="11" width="19.5703125" customWidth="1"/>
  </cols>
  <sheetData>
    <row r="1" spans="1:11" ht="25.5" customHeight="1" x14ac:dyDescent="0.25">
      <c r="A1" s="1" t="s">
        <v>1</v>
      </c>
      <c r="B1" s="1" t="s">
        <v>2</v>
      </c>
      <c r="C1" s="1" t="s">
        <v>0</v>
      </c>
      <c r="D1" s="5"/>
      <c r="E1" s="32"/>
      <c r="I1" s="6"/>
      <c r="K1" s="6" t="s">
        <v>5</v>
      </c>
    </row>
    <row r="2" spans="1:11" x14ac:dyDescent="0.25">
      <c r="A2" s="2" t="s">
        <v>6</v>
      </c>
      <c r="B2" s="7" t="s">
        <v>3</v>
      </c>
      <c r="C2" s="3" t="s">
        <v>41</v>
      </c>
      <c r="D2"/>
      <c r="E2"/>
    </row>
    <row r="3" spans="1:11" x14ac:dyDescent="0.25">
      <c r="A3" s="2" t="s">
        <v>7</v>
      </c>
      <c r="B3" s="7" t="s">
        <v>4</v>
      </c>
      <c r="C3" s="3" t="s">
        <v>41</v>
      </c>
      <c r="D3"/>
      <c r="E3"/>
    </row>
    <row r="4" spans="1:11" x14ac:dyDescent="0.25">
      <c r="A4" s="2" t="s">
        <v>8</v>
      </c>
      <c r="B4" s="7" t="s">
        <v>9</v>
      </c>
      <c r="C4" s="3" t="s">
        <v>31</v>
      </c>
      <c r="D4"/>
      <c r="E4"/>
    </row>
    <row r="5" spans="1:11" x14ac:dyDescent="0.25">
      <c r="D5"/>
      <c r="E5"/>
    </row>
    <row r="6" spans="1:11" x14ac:dyDescent="0.25">
      <c r="D6"/>
      <c r="E6"/>
    </row>
    <row r="7" spans="1:11" x14ac:dyDescent="0.25">
      <c r="D7"/>
      <c r="E7"/>
    </row>
    <row r="8" spans="1:11" x14ac:dyDescent="0.25">
      <c r="D8"/>
      <c r="E8"/>
    </row>
    <row r="9" spans="1:11" x14ac:dyDescent="0.25">
      <c r="D9"/>
      <c r="E9"/>
    </row>
    <row r="10" spans="1:11" x14ac:dyDescent="0.25">
      <c r="D10"/>
      <c r="E10"/>
    </row>
    <row r="11" spans="1:11" x14ac:dyDescent="0.25">
      <c r="D11"/>
      <c r="E11"/>
    </row>
    <row r="12" spans="1:11" x14ac:dyDescent="0.25">
      <c r="D12"/>
      <c r="E12"/>
    </row>
    <row r="13" spans="1:11" x14ac:dyDescent="0.25">
      <c r="D13"/>
      <c r="E13"/>
    </row>
    <row r="14" spans="1:11" x14ac:dyDescent="0.25">
      <c r="D14"/>
      <c r="E14"/>
    </row>
  </sheetData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3DBA-7DBF-49A7-851E-D3A6E49AFE81}">
  <dimension ref="A1:I17"/>
  <sheetViews>
    <sheetView tabSelected="1" topLeftCell="A3" workbookViewId="0">
      <selection sqref="A1:H17"/>
    </sheetView>
  </sheetViews>
  <sheetFormatPr defaultRowHeight="15" x14ac:dyDescent="0.25"/>
  <cols>
    <col min="1" max="1" width="8" customWidth="1"/>
    <col min="2" max="2" width="42.85546875" bestFit="1" customWidth="1"/>
    <col min="3" max="3" width="8.85546875" bestFit="1" customWidth="1"/>
    <col min="4" max="4" width="15.42578125" bestFit="1" customWidth="1"/>
    <col min="5" max="5" width="13.28515625" bestFit="1" customWidth="1"/>
    <col min="6" max="6" width="7.28515625" bestFit="1" customWidth="1"/>
    <col min="7" max="7" width="22.28515625" customWidth="1"/>
    <col min="8" max="8" width="31.5703125" customWidth="1"/>
  </cols>
  <sheetData>
    <row r="1" spans="1:9" ht="60.75" thickBot="1" x14ac:dyDescent="0.3">
      <c r="A1" s="10" t="s">
        <v>10</v>
      </c>
      <c r="B1" s="10" t="s">
        <v>11</v>
      </c>
      <c r="C1" s="11" t="s">
        <v>12</v>
      </c>
      <c r="D1" s="12" t="s">
        <v>13</v>
      </c>
      <c r="E1" s="13" t="s">
        <v>14</v>
      </c>
      <c r="F1" s="14" t="s">
        <v>15</v>
      </c>
      <c r="G1" s="15" t="s">
        <v>16</v>
      </c>
      <c r="H1" s="13" t="s">
        <v>53</v>
      </c>
    </row>
    <row r="2" spans="1:9" ht="15.75" thickBot="1" x14ac:dyDescent="0.3">
      <c r="A2" s="16">
        <v>1</v>
      </c>
      <c r="B2" s="17" t="s">
        <v>17</v>
      </c>
      <c r="C2" s="18">
        <v>3</v>
      </c>
      <c r="D2" s="19">
        <v>3</v>
      </c>
      <c r="E2" s="20">
        <v>3</v>
      </c>
      <c r="F2" s="20">
        <v>0</v>
      </c>
      <c r="G2" s="21">
        <f>E2/D2</f>
        <v>1</v>
      </c>
      <c r="H2" s="20"/>
    </row>
    <row r="3" spans="1:9" ht="15.75" thickBot="1" x14ac:dyDescent="0.3">
      <c r="A3" s="8">
        <v>2</v>
      </c>
      <c r="B3" s="22" t="s">
        <v>18</v>
      </c>
      <c r="C3" s="18">
        <v>3</v>
      </c>
      <c r="D3" s="20">
        <v>3</v>
      </c>
      <c r="E3" s="20">
        <v>3</v>
      </c>
      <c r="F3" s="20">
        <v>0</v>
      </c>
      <c r="G3" s="21">
        <f t="shared" ref="G3:G6" si="0">E3/D3</f>
        <v>1</v>
      </c>
      <c r="H3" s="20"/>
    </row>
    <row r="4" spans="1:9" ht="15.75" thickBot="1" x14ac:dyDescent="0.3">
      <c r="A4" s="18">
        <v>3</v>
      </c>
      <c r="B4" s="24" t="s">
        <v>19</v>
      </c>
      <c r="C4" s="18">
        <v>3</v>
      </c>
      <c r="D4" s="20">
        <v>3</v>
      </c>
      <c r="E4" s="20">
        <v>3</v>
      </c>
      <c r="F4" s="20">
        <v>0</v>
      </c>
      <c r="G4" s="21">
        <f t="shared" si="0"/>
        <v>1</v>
      </c>
      <c r="H4" s="20"/>
    </row>
    <row r="5" spans="1:9" ht="15.75" thickBot="1" x14ac:dyDescent="0.3">
      <c r="A5" s="18">
        <v>4</v>
      </c>
      <c r="B5" s="24" t="s">
        <v>20</v>
      </c>
      <c r="C5" s="18">
        <v>3</v>
      </c>
      <c r="D5" s="20">
        <v>3</v>
      </c>
      <c r="E5" s="20">
        <v>3</v>
      </c>
      <c r="F5" s="20">
        <v>0</v>
      </c>
      <c r="G5" s="21">
        <f t="shared" si="0"/>
        <v>1</v>
      </c>
      <c r="H5" s="20"/>
    </row>
    <row r="6" spans="1:9" ht="15.75" thickBot="1" x14ac:dyDescent="0.3">
      <c r="A6" s="18">
        <v>5</v>
      </c>
      <c r="B6" s="24" t="s">
        <v>21</v>
      </c>
      <c r="C6" s="18">
        <v>3</v>
      </c>
      <c r="D6" s="20">
        <v>3</v>
      </c>
      <c r="E6" s="20">
        <v>3</v>
      </c>
      <c r="F6" s="20">
        <v>0</v>
      </c>
      <c r="G6" s="21">
        <f t="shared" si="0"/>
        <v>1</v>
      </c>
      <c r="H6" s="20"/>
    </row>
    <row r="7" spans="1:9" ht="15.75" thickBot="1" x14ac:dyDescent="0.3">
      <c r="A7" s="18">
        <v>6</v>
      </c>
      <c r="B7" s="24" t="s">
        <v>40</v>
      </c>
      <c r="C7" s="18">
        <v>3</v>
      </c>
      <c r="D7" s="20">
        <v>3</v>
      </c>
      <c r="E7" s="20">
        <v>3</v>
      </c>
      <c r="F7" s="20">
        <v>0</v>
      </c>
      <c r="G7" s="21">
        <v>1</v>
      </c>
      <c r="H7" s="20"/>
      <c r="I7" s="9"/>
    </row>
    <row r="8" spans="1:9" ht="15.75" thickBot="1" x14ac:dyDescent="0.3">
      <c r="A8" s="18">
        <v>7</v>
      </c>
      <c r="B8" s="24" t="s">
        <v>22</v>
      </c>
      <c r="C8" s="18">
        <v>3</v>
      </c>
      <c r="D8" s="20">
        <v>3</v>
      </c>
      <c r="E8" s="20">
        <v>3</v>
      </c>
      <c r="F8" s="20">
        <v>0</v>
      </c>
      <c r="G8" s="21">
        <f>E8/D8</f>
        <v>1</v>
      </c>
      <c r="H8" s="20"/>
      <c r="I8" s="9"/>
    </row>
    <row r="9" spans="1:9" ht="15.75" thickBot="1" x14ac:dyDescent="0.3">
      <c r="A9" s="18">
        <v>8</v>
      </c>
      <c r="B9" s="24" t="s">
        <v>23</v>
      </c>
      <c r="C9" s="18">
        <v>3</v>
      </c>
      <c r="D9" s="20">
        <v>3</v>
      </c>
      <c r="E9" s="20">
        <v>3</v>
      </c>
      <c r="F9" s="20">
        <v>0</v>
      </c>
      <c r="G9" s="23">
        <f>E9/D9</f>
        <v>1</v>
      </c>
      <c r="H9" s="20"/>
    </row>
    <row r="10" spans="1:9" ht="15.75" thickBot="1" x14ac:dyDescent="0.3">
      <c r="A10" s="18">
        <v>9</v>
      </c>
      <c r="B10" s="24" t="s">
        <v>24</v>
      </c>
      <c r="C10" s="18">
        <v>3</v>
      </c>
      <c r="D10" s="20">
        <v>3</v>
      </c>
      <c r="E10" s="20">
        <v>3</v>
      </c>
      <c r="F10" s="20">
        <v>0</v>
      </c>
      <c r="G10" s="23">
        <f t="shared" ref="G10:G13" si="1">E10/D10</f>
        <v>1</v>
      </c>
      <c r="H10" s="44"/>
    </row>
    <row r="11" spans="1:9" ht="15.75" thickBot="1" x14ac:dyDescent="0.3">
      <c r="A11" s="18">
        <v>10</v>
      </c>
      <c r="B11" s="24" t="s">
        <v>30</v>
      </c>
      <c r="C11" s="18">
        <v>3</v>
      </c>
      <c r="D11" s="20">
        <v>3</v>
      </c>
      <c r="E11" s="20">
        <v>3</v>
      </c>
      <c r="F11" s="20">
        <v>0</v>
      </c>
      <c r="G11" s="23">
        <f t="shared" si="1"/>
        <v>1</v>
      </c>
      <c r="H11" s="8"/>
    </row>
    <row r="12" spans="1:9" ht="15.75" thickBot="1" x14ac:dyDescent="0.3">
      <c r="A12" s="18">
        <v>11</v>
      </c>
      <c r="B12" s="24" t="s">
        <v>42</v>
      </c>
      <c r="C12" s="18">
        <v>3</v>
      </c>
      <c r="D12" s="20">
        <v>3</v>
      </c>
      <c r="E12" s="20">
        <v>3</v>
      </c>
      <c r="F12" s="20">
        <v>0</v>
      </c>
      <c r="G12" s="23">
        <f t="shared" si="1"/>
        <v>1</v>
      </c>
      <c r="H12" s="43"/>
    </row>
    <row r="13" spans="1:9" ht="15.75" thickBot="1" x14ac:dyDescent="0.3">
      <c r="A13" s="18">
        <v>12</v>
      </c>
      <c r="B13" s="24" t="s">
        <v>25</v>
      </c>
      <c r="C13" s="18">
        <v>3</v>
      </c>
      <c r="D13" s="20">
        <v>3</v>
      </c>
      <c r="E13" s="20">
        <v>3</v>
      </c>
      <c r="F13" s="20">
        <v>0</v>
      </c>
      <c r="G13" s="23">
        <f t="shared" si="1"/>
        <v>1</v>
      </c>
      <c r="H13" s="20"/>
    </row>
    <row r="14" spans="1:9" ht="15.75" thickBot="1" x14ac:dyDescent="0.3">
      <c r="A14" s="18">
        <v>13</v>
      </c>
      <c r="B14" s="24" t="s">
        <v>26</v>
      </c>
      <c r="C14" s="18">
        <v>3</v>
      </c>
      <c r="D14" s="20">
        <v>3</v>
      </c>
      <c r="E14" s="20">
        <v>3</v>
      </c>
      <c r="F14" s="20">
        <v>0</v>
      </c>
      <c r="G14" s="23">
        <f t="shared" ref="G10:G16" si="2">E14/D14</f>
        <v>1</v>
      </c>
      <c r="H14" s="20"/>
    </row>
    <row r="15" spans="1:9" ht="15.75" thickBot="1" x14ac:dyDescent="0.3">
      <c r="A15" s="18">
        <v>14</v>
      </c>
      <c r="B15" s="24" t="s">
        <v>27</v>
      </c>
      <c r="C15" s="18">
        <v>3</v>
      </c>
      <c r="D15" s="20">
        <v>3</v>
      </c>
      <c r="E15" s="20">
        <v>3</v>
      </c>
      <c r="F15" s="20">
        <v>0</v>
      </c>
      <c r="G15" s="23">
        <f t="shared" si="2"/>
        <v>1</v>
      </c>
      <c r="H15" s="20"/>
    </row>
    <row r="16" spans="1:9" ht="15.75" thickBot="1" x14ac:dyDescent="0.3">
      <c r="A16" s="18">
        <v>14</v>
      </c>
      <c r="B16" s="25" t="s">
        <v>28</v>
      </c>
      <c r="C16" s="20">
        <v>3</v>
      </c>
      <c r="D16" s="20">
        <v>3</v>
      </c>
      <c r="E16" s="20">
        <v>3</v>
      </c>
      <c r="F16" s="20">
        <v>0</v>
      </c>
      <c r="G16" s="23">
        <f t="shared" si="2"/>
        <v>1</v>
      </c>
      <c r="H16" s="20"/>
    </row>
    <row r="17" spans="1:8" ht="15.75" thickBot="1" x14ac:dyDescent="0.3">
      <c r="A17" s="26"/>
      <c r="B17" s="27" t="s">
        <v>29</v>
      </c>
      <c r="C17" s="28">
        <v>45</v>
      </c>
      <c r="D17" s="29">
        <v>45</v>
      </c>
      <c r="E17" s="28">
        <f>SUM(E2:E16)</f>
        <v>45</v>
      </c>
      <c r="F17" s="59">
        <f>SUM(F2:F16)</f>
        <v>0</v>
      </c>
      <c r="G17" s="30">
        <f>E17/D17</f>
        <v>1</v>
      </c>
      <c r="H17" s="20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CB3C-953C-4E76-B7B0-6D66952213F2}">
  <dimension ref="A1:H11"/>
  <sheetViews>
    <sheetView topLeftCell="B1" workbookViewId="0">
      <selection activeCell="B1" sqref="B1:H4"/>
    </sheetView>
  </sheetViews>
  <sheetFormatPr defaultRowHeight="15" x14ac:dyDescent="0.25"/>
  <cols>
    <col min="1" max="1" width="21" bestFit="1" customWidth="1"/>
    <col min="2" max="2" width="53" customWidth="1"/>
    <col min="3" max="3" width="41.85546875" customWidth="1"/>
    <col min="4" max="4" width="21.140625" style="31" customWidth="1"/>
    <col min="5" max="5" width="17.42578125" customWidth="1"/>
    <col min="6" max="6" width="12.28515625" customWidth="1"/>
    <col min="7" max="7" width="17" customWidth="1"/>
  </cols>
  <sheetData>
    <row r="1" spans="1:8" ht="16.5" thickBot="1" x14ac:dyDescent="0.3">
      <c r="A1" s="33" t="s">
        <v>32</v>
      </c>
      <c r="B1" s="33" t="s">
        <v>32</v>
      </c>
      <c r="C1" s="34" t="s">
        <v>33</v>
      </c>
      <c r="D1" s="50" t="s">
        <v>34</v>
      </c>
      <c r="E1" s="50" t="s">
        <v>35</v>
      </c>
      <c r="F1" s="34" t="s">
        <v>36</v>
      </c>
      <c r="G1" s="34" t="s">
        <v>37</v>
      </c>
      <c r="H1" s="35" t="s">
        <v>57</v>
      </c>
    </row>
    <row r="2" spans="1:8" ht="33" customHeight="1" thickBot="1" x14ac:dyDescent="0.3">
      <c r="A2" s="38" t="s">
        <v>54</v>
      </c>
      <c r="B2" s="51" t="s">
        <v>58</v>
      </c>
      <c r="C2" s="52" t="s">
        <v>59</v>
      </c>
      <c r="D2" s="53">
        <v>505976</v>
      </c>
      <c r="E2" s="53" t="s">
        <v>60</v>
      </c>
      <c r="F2" s="45" t="s">
        <v>38</v>
      </c>
      <c r="G2" s="48" t="s">
        <v>39</v>
      </c>
      <c r="H2" s="36"/>
    </row>
    <row r="3" spans="1:8" ht="15" customHeight="1" thickBot="1" x14ac:dyDescent="0.3">
      <c r="A3" s="38" t="s">
        <v>55</v>
      </c>
      <c r="B3" s="54" t="s">
        <v>61</v>
      </c>
      <c r="C3" s="46" t="s">
        <v>62</v>
      </c>
      <c r="D3" s="53">
        <v>505939</v>
      </c>
      <c r="E3" s="53" t="s">
        <v>63</v>
      </c>
      <c r="F3" s="47" t="s">
        <v>38</v>
      </c>
      <c r="G3" s="55" t="s">
        <v>39</v>
      </c>
      <c r="H3" s="36"/>
    </row>
    <row r="4" spans="1:8" ht="16.5" thickBot="1" x14ac:dyDescent="0.3">
      <c r="A4" s="38" t="s">
        <v>56</v>
      </c>
      <c r="B4" s="56" t="s">
        <v>64</v>
      </c>
      <c r="C4" s="57" t="s">
        <v>65</v>
      </c>
      <c r="D4" s="53">
        <v>506059</v>
      </c>
      <c r="E4" s="53" t="s">
        <v>66</v>
      </c>
      <c r="F4" s="49"/>
      <c r="G4" s="55" t="s">
        <v>39</v>
      </c>
      <c r="H4" s="58"/>
    </row>
    <row r="6" spans="1:8" x14ac:dyDescent="0.25">
      <c r="A6" s="42" t="s">
        <v>45</v>
      </c>
      <c r="B6" s="42" t="s">
        <v>43</v>
      </c>
      <c r="C6" s="42" t="s">
        <v>44</v>
      </c>
    </row>
    <row r="7" spans="1:8" ht="30" x14ac:dyDescent="0.25">
      <c r="A7" s="37">
        <v>1</v>
      </c>
      <c r="B7" s="39" t="s">
        <v>19</v>
      </c>
      <c r="C7" s="41" t="s">
        <v>46</v>
      </c>
    </row>
    <row r="8" spans="1:8" ht="30" x14ac:dyDescent="0.25">
      <c r="A8" s="37">
        <v>2</v>
      </c>
      <c r="B8" s="39" t="s">
        <v>47</v>
      </c>
      <c r="C8" s="41" t="s">
        <v>48</v>
      </c>
    </row>
    <row r="9" spans="1:8" ht="45" x14ac:dyDescent="0.25">
      <c r="A9" s="37">
        <v>3</v>
      </c>
      <c r="B9" s="39" t="s">
        <v>50</v>
      </c>
      <c r="C9" s="41" t="s">
        <v>49</v>
      </c>
    </row>
    <row r="10" spans="1:8" x14ac:dyDescent="0.25">
      <c r="A10" s="37">
        <v>4</v>
      </c>
      <c r="B10" s="39" t="s">
        <v>24</v>
      </c>
      <c r="C10" s="40" t="s">
        <v>51</v>
      </c>
    </row>
    <row r="11" spans="1:8" ht="30" x14ac:dyDescent="0.25">
      <c r="A11" s="37">
        <v>5</v>
      </c>
      <c r="B11" s="39" t="s">
        <v>42</v>
      </c>
      <c r="C11" s="41" t="s">
        <v>52</v>
      </c>
    </row>
  </sheetData>
  <phoneticPr fontId="5" type="noConversion"/>
  <hyperlinks>
    <hyperlink ref="C7" r:id="rId1" display="https://dev.azure.com/mmctech/Victor-US-UM-BAU/_workitems/edit/2023171" xr:uid="{1A183407-60FE-4011-AA34-4621D74323EA}"/>
    <hyperlink ref="C8" r:id="rId2" display="https://dev.azure.com/mmctech/Victor-US-UM-BAU/_workitems/edit/2023183" xr:uid="{0C5774DE-91C6-4AD2-B2DC-079B15472331}"/>
    <hyperlink ref="C9" r:id="rId3" display="https://dev.azure.com/mmctech/Victor-US-UM-BAU/_workitems/edit/2023201" xr:uid="{57170900-45C6-4A08-A0C1-A0D91D6848A3}"/>
    <hyperlink ref="C10" r:id="rId4" display="https://dev.azure.com/mmctech/Victor-US-UM-BAU/_workitems/edit/2023215" xr:uid="{3A05C9EF-0B8D-4D98-86A6-4FDCF64DB1D7}"/>
    <hyperlink ref="C11" r:id="rId5" display="https://dev.azure.com/mmctech/Victor-US-UM-BAU/_workitems/edit/2023221" xr:uid="{EBAFB01A-C08A-4313-948F-A4D7732526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Execution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Pawar, Krishna</cp:lastModifiedBy>
  <dcterms:created xsi:type="dcterms:W3CDTF">2021-12-24T05:44:02Z</dcterms:created>
  <dcterms:modified xsi:type="dcterms:W3CDTF">2025-12-10T10:34:28Z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2021-12-24T05:44:03Z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edf2f440-7008-448d-9d33-51a95277e9ae</vt:lpwstr>
  </property>
  <property fmtid="{D5CDD505-2E9C-101B-9397-08002B2CF9AE}" pid="8" name="MSIP_Label_38f1469a-2c2a-4aee-b92b-090d4c5468ff_ContentBits">
    <vt:lpwstr>0</vt:lpwstr>
  </property>
</Properties>
</file>