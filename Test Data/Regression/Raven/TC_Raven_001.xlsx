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Test Data\Regression\Raven\"/>
    </mc:Choice>
  </mc:AlternateContent>
  <xr:revisionPtr revIDLastSave="0" documentId="13_ncr:1_{E157A65E-313B-4033-A3F6-BA49F36235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2" l="1"/>
  <c r="B47" i="2" s="1"/>
</calcChain>
</file>

<file path=xl/sharedStrings.xml><?xml version="1.0" encoding="utf-8"?>
<sst xmlns="http://schemas.openxmlformats.org/spreadsheetml/2006/main" count="194" uniqueCount="163">
  <si>
    <t>Keys</t>
  </si>
  <si>
    <t>Value1</t>
  </si>
  <si>
    <t>Dummy</t>
  </si>
  <si>
    <t>TC_ID</t>
  </si>
  <si>
    <t>TC_Name</t>
  </si>
  <si>
    <t>PolicySearch</t>
  </si>
  <si>
    <t>PolicyNumber</t>
  </si>
  <si>
    <t>Status</t>
  </si>
  <si>
    <t>Program</t>
  </si>
  <si>
    <t>In Force</t>
  </si>
  <si>
    <t>NO</t>
  </si>
  <si>
    <t>Division</t>
  </si>
  <si>
    <t>Firm Type</t>
  </si>
  <si>
    <t>Rate Territory</t>
  </si>
  <si>
    <t>Policy Stage</t>
  </si>
  <si>
    <t>Policy Term</t>
  </si>
  <si>
    <t>Client Search</t>
  </si>
  <si>
    <t>Client Name</t>
  </si>
  <si>
    <t>State</t>
  </si>
  <si>
    <t>City</t>
  </si>
  <si>
    <t>Client ID</t>
  </si>
  <si>
    <t>CS_Policy Number</t>
  </si>
  <si>
    <t>Annual</t>
  </si>
  <si>
    <t>Class</t>
  </si>
  <si>
    <t>Cov_Rate Territory</t>
  </si>
  <si>
    <t>Retro Type</t>
  </si>
  <si>
    <t>Retro Date</t>
  </si>
  <si>
    <t>Total Billing Range</t>
  </si>
  <si>
    <t>NOTAPPLICABLE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</si>
  <si>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</si>
  <si>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</si>
  <si>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</si>
  <si>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</si>
  <si>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</si>
  <si>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</si>
  <si>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</si>
  <si>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</si>
  <si>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YES</t>
  </si>
  <si>
    <t>Client Detail</t>
  </si>
  <si>
    <t>Marsh Transaction New/renewal</t>
  </si>
  <si>
    <t>Year Established</t>
  </si>
  <si>
    <t>DUNS/EDM Number</t>
  </si>
  <si>
    <t>First</t>
  </si>
  <si>
    <t>Test</t>
  </si>
  <si>
    <t>Last</t>
  </si>
  <si>
    <t>User1</t>
  </si>
  <si>
    <t>Email</t>
  </si>
  <si>
    <t>Test@insurance.com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</si>
  <si>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</si>
  <si>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</si>
  <si>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</si>
  <si>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</si>
  <si>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</si>
  <si>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</si>
  <si>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</si>
  <si>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</si>
  <si>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</si>
  <si>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</si>
  <si>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</si>
  <si>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</si>
  <si>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Client</t>
  </si>
  <si>
    <t>NONE</t>
  </si>
  <si>
    <t>Rating base</t>
  </si>
  <si>
    <t>Limit and deductibles</t>
  </si>
  <si>
    <t>Policy Status2</t>
  </si>
  <si>
    <t>Policy Status1</t>
  </si>
  <si>
    <t>Bound</t>
  </si>
  <si>
    <t>Smoke Test</t>
  </si>
  <si>
    <t>TC_Raven_001</t>
  </si>
  <si>
    <t>AOP+Windstorm+Severe Convective storm+TRIA policy generation</t>
  </si>
  <si>
    <t>General Office</t>
  </si>
  <si>
    <t>Isle of Palms</t>
  </si>
  <si>
    <t>VIMMPROPERTY</t>
  </si>
  <si>
    <t>VIMM</t>
  </si>
  <si>
    <t>SC</t>
  </si>
  <si>
    <t>Full</t>
  </si>
  <si>
    <t>Boulder</t>
  </si>
  <si>
    <t>TIV</t>
  </si>
  <si>
    <t>AOP_limit</t>
  </si>
  <si>
    <t>AOP_Agg limit</t>
  </si>
  <si>
    <t>AOP_Deductibles limit</t>
  </si>
  <si>
    <t>NAMEDWINDSTORM_limit</t>
  </si>
  <si>
    <t>NAMEDWINDSTORM_Agg limit</t>
  </si>
  <si>
    <t>NAMEDWINDSTORM_Deductibles limit</t>
  </si>
  <si>
    <t>SEVERECONVECTIVE_limit</t>
  </si>
  <si>
    <t>SEVERECONVECTIVE_Agg limit</t>
  </si>
  <si>
    <t>SEVERECONVECTIVE_Deductibles limit</t>
  </si>
  <si>
    <t>TRIA_limit</t>
  </si>
  <si>
    <t>TRIA_Agg limit</t>
  </si>
  <si>
    <t>TRIA_Deductibles limit</t>
  </si>
  <si>
    <t>Aop Penchane value</t>
  </si>
  <si>
    <t>Namedwindstorm penchange value</t>
  </si>
  <si>
    <t>Severeconvective penchange value</t>
  </si>
  <si>
    <t>Tria penchange value</t>
  </si>
  <si>
    <t>Aop Inspection fees</t>
  </si>
  <si>
    <t>Raven Coverages</t>
  </si>
  <si>
    <t>Aop Coverage</t>
  </si>
  <si>
    <t>Earthquake Coverage</t>
  </si>
  <si>
    <t>Flood Coverage</t>
  </si>
  <si>
    <t>Namedwindstorm Coverage</t>
  </si>
  <si>
    <t>Severeconvective Coverage</t>
  </si>
  <si>
    <t>Wildfire Coverage</t>
  </si>
  <si>
    <t>CA Earthquake Coverage</t>
  </si>
  <si>
    <t>New Madrid Earthquake Coverage</t>
  </si>
  <si>
    <t>Other Earthquake Coverage</t>
  </si>
  <si>
    <t>Pacific NW Earthquake Coverage</t>
  </si>
  <si>
    <t>Special Hazard Flood Coverage</t>
  </si>
  <si>
    <t>Tria Coverage</t>
  </si>
  <si>
    <t>Tria rejected Coverage</t>
  </si>
  <si>
    <t>AOP</t>
  </si>
  <si>
    <t>Earthquake</t>
  </si>
  <si>
    <t>Earthquake_limit</t>
  </si>
  <si>
    <t>Earthquake_Agg limit</t>
  </si>
  <si>
    <t>Earthquake_Deductibles limit</t>
  </si>
  <si>
    <t>Flood</t>
  </si>
  <si>
    <t>Flood_limit</t>
  </si>
  <si>
    <t>Flood_Agg limit</t>
  </si>
  <si>
    <t>Flood_Deductibles limit</t>
  </si>
  <si>
    <t>NAMEDWINDSTORM</t>
  </si>
  <si>
    <t>SEVERECONVECTIVE</t>
  </si>
  <si>
    <t>Wildfire</t>
  </si>
  <si>
    <t>Wildfire_limit</t>
  </si>
  <si>
    <t>Wildfire_Agg limit</t>
  </si>
  <si>
    <t>Wildfire_Deductibles limit</t>
  </si>
  <si>
    <t>CA Earthquake</t>
  </si>
  <si>
    <t>CA-Earthquake_limit</t>
  </si>
  <si>
    <t>CA-Earthquake_Agg limit</t>
  </si>
  <si>
    <t>CA-Earthquake_Deductibles limit</t>
  </si>
  <si>
    <t>New Madrid Earthquake</t>
  </si>
  <si>
    <t>New-Madrid-Earthquake_limit</t>
  </si>
  <si>
    <t>New-Madrid-Earthquake_Agg limit</t>
  </si>
  <si>
    <t>New-Madrid-Earthquake_Deductibles limit</t>
  </si>
  <si>
    <t>Other Earthquake</t>
  </si>
  <si>
    <t>Other-Earthquake_limit</t>
  </si>
  <si>
    <t>Other-Earthquake_Agg limit</t>
  </si>
  <si>
    <t>Other-Earthquake_Deductibles limit</t>
  </si>
  <si>
    <t>Pacific NW Earthquake</t>
  </si>
  <si>
    <t>Pacific-NW-Earthquake_limit</t>
  </si>
  <si>
    <t>Pacific-NW-Earthquake_Agg limit</t>
  </si>
  <si>
    <t>Pacific-NW-Earthquake_Deductibles limit</t>
  </si>
  <si>
    <t>Special Hazard Flood</t>
  </si>
  <si>
    <t>Special-Hazard-Flood_limit</t>
  </si>
  <si>
    <t>Special-Hazard-Flood_Agg limit</t>
  </si>
  <si>
    <t>Special-Hazard-Flood_Deductibles limit</t>
  </si>
  <si>
    <t>TRIA</t>
  </si>
  <si>
    <t>TRIA REJECTED</t>
  </si>
  <si>
    <t>TRIA-REJECTED_limit</t>
  </si>
  <si>
    <t>TRIA-REJECTED_Agg limit</t>
  </si>
  <si>
    <t>TRIA-REJECTED_Deductibles limit</t>
  </si>
  <si>
    <t>Earthquake penchange value</t>
  </si>
  <si>
    <t>Flood penchange value</t>
  </si>
  <si>
    <t>Wildfire penchange value</t>
  </si>
  <si>
    <t>CA Earthquake penchange value</t>
  </si>
  <si>
    <t>New Madrid Earthquake penchange value</t>
  </si>
  <si>
    <t>Other Earthquake penchange value</t>
  </si>
  <si>
    <t>Pacific NW Earthquake penchange value</t>
  </si>
  <si>
    <t>Special Hazard Flood penchange value</t>
  </si>
  <si>
    <t>Tria rejected penchange value</t>
  </si>
  <si>
    <t>Aop Coverage index</t>
  </si>
  <si>
    <t>Namedwindstorm Coverage index</t>
  </si>
  <si>
    <t>Severeconvective Coverage index</t>
  </si>
  <si>
    <t>Tria Coverage index</t>
  </si>
  <si>
    <t>9 Benzie Ln Salters, South Carolina(SC), 29590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</si>
</sst>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49" fontId="0" fillId="0" borderId="1" xfId="0" applyNumberFormat="1" applyBorder="1"/>
    <xf numFmtId="0" fontId="3" fillId="0" borderId="1" xfId="0" applyFont="1" applyBorder="1"/>
    <xf numFmtId="49" fontId="0" fillId="0" borderId="1" xfId="0" applyNumberFormat="1" applyBorder="1" applyAlignment="1">
      <alignment vertical="top"/>
    </xf>
    <xf numFmtId="0" fontId="3" fillId="2" borderId="1" xfId="0" applyFont="1" applyFill="1" applyBorder="1"/>
    <xf numFmtId="14" fontId="0" fillId="0" borderId="1" xfId="0" applyNumberFormat="1" applyBorder="1" applyAlignment="1">
      <alignment vertical="top"/>
    </xf>
    <xf numFmtId="0" fontId="4" fillId="0" borderId="1" xfId="0" applyFont="1" applyBorder="1" applyAlignment="1">
      <alignment horizontal="left" vertical="center"/>
    </xf>
    <xf numFmtId="14" fontId="0" fillId="0" borderId="0" xfId="0" applyNumberFormat="1"/>
    <xf numFmtId="0" fontId="2" fillId="0" borderId="1" xfId="0" applyFont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3"/>
  <sheetViews>
    <sheetView tabSelected="1" topLeftCell="A10" workbookViewId="0">
      <selection activeCell="B18" sqref="B18"/>
    </sheetView>
  </sheetViews>
  <sheetFormatPr defaultRowHeight="15" x14ac:dyDescent="0.25"/>
  <cols>
    <col min="1" max="1" width="40.140625" bestFit="1" customWidth="1"/>
    <col min="2" max="2" width="61.28515625" bestFit="1" customWidth="1"/>
    <col min="3" max="3" width="12.140625" bestFit="1" customWidth="1"/>
    <col min="4" max="4" width="29.28515625" bestFit="1" customWidth="1"/>
    <col min="5" max="5" width="28" bestFit="1" customWidth="1"/>
    <col min="6" max="6" width="13.28515625" bestFit="1" customWidth="1"/>
    <col min="7" max="7" width="17.42578125" bestFit="1" customWidth="1"/>
    <col min="8" max="8" width="12" bestFit="1" customWidth="1"/>
    <col min="9" max="9" width="20.42578125" bestFit="1" customWidth="1"/>
    <col min="10" max="10" width="29.28515625" bestFit="1" customWidth="1"/>
    <col min="11" max="11" width="15.140625" bestFit="1" customWidth="1"/>
    <col min="13" max="13" width="12.140625" bestFit="1" customWidth="1"/>
    <col min="14" max="14" width="20" bestFit="1" customWidth="1"/>
    <col min="15" max="16" width="13.28515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3</v>
      </c>
      <c r="B2" s="1" t="s">
        <v>68</v>
      </c>
    </row>
    <row r="3" spans="1:2" x14ac:dyDescent="0.25">
      <c r="A3" s="1" t="s">
        <v>4</v>
      </c>
      <c r="B3" s="1" t="s">
        <v>69</v>
      </c>
    </row>
    <row r="4" spans="1:2" x14ac:dyDescent="0.25">
      <c r="A4" s="4" t="s">
        <v>16</v>
      </c>
      <c r="B4" s="1"/>
    </row>
    <row r="5" spans="1:2" x14ac:dyDescent="0.25">
      <c r="A5" s="5" t="s">
        <v>17</v>
      </c>
      <c r="B5" s="1" t="s">
        <v>67</v>
      </c>
    </row>
    <row r="6" spans="1:2" x14ac:dyDescent="0.25">
      <c r="A6" s="5" t="s">
        <v>18</v>
      </c>
      <c r="B6" s="1"/>
    </row>
    <row r="7" spans="1:2" x14ac:dyDescent="0.25">
      <c r="A7" s="5" t="s">
        <v>19</v>
      </c>
      <c r="B7" s="1"/>
    </row>
    <row r="8" spans="1:2" x14ac:dyDescent="0.25">
      <c r="A8" s="5" t="s">
        <v>20</v>
      </c>
      <c r="B8" s="1"/>
    </row>
    <row r="9" spans="1:2" x14ac:dyDescent="0.25">
      <c r="A9" s="5" t="s">
        <v>21</v>
      </c>
      <c r="B9" s="1"/>
    </row>
    <row r="10" spans="1:2" x14ac:dyDescent="0.25">
      <c r="A10" s="4" t="s">
        <v>38</v>
      </c>
      <c r="B10" s="1"/>
    </row>
    <row r="11" spans="1:2" x14ac:dyDescent="0.25">
      <c r="A11" s="5" t="s">
        <v>39</v>
      </c>
      <c r="B11" s="1"/>
    </row>
    <row r="12" spans="1:2" x14ac:dyDescent="0.25">
      <c r="A12" s="5" t="s">
        <v>40</v>
      </c>
      <c r="B12" s="6"/>
    </row>
    <row r="13" spans="1:2" x14ac:dyDescent="0.25">
      <c r="A13" s="5" t="s">
        <v>41</v>
      </c>
      <c r="B13" s="1"/>
    </row>
    <row r="14" spans="1:2" x14ac:dyDescent="0.25">
      <c r="A14" s="5" t="s">
        <v>42</v>
      </c>
      <c r="B14" s="1" t="s">
        <v>43</v>
      </c>
    </row>
    <row r="15" spans="1:2" x14ac:dyDescent="0.25">
      <c r="A15" s="5" t="s">
        <v>44</v>
      </c>
      <c r="B15" s="1" t="s">
        <v>45</v>
      </c>
    </row>
    <row r="16" spans="1:2" x14ac:dyDescent="0.25">
      <c r="A16" s="5" t="s">
        <v>46</v>
      </c>
      <c r="B16" s="1" t="s">
        <v>47</v>
      </c>
    </row>
    <row r="17" spans="1:2" x14ac:dyDescent="0.25">
      <c r="A17" s="5" t="s">
        <v>48</v>
      </c>
      <c r="B17" s="1" t="s">
        <v>70</v>
      </c>
    </row>
    <row r="18" spans="1:2" x14ac:dyDescent="0.25">
      <c r="A18" s="5" t="s">
        <v>49</v>
      </c>
      <c r="B18" s="1" t="s">
        <v>162</v>
      </c>
    </row>
    <row r="19" spans="1:2" x14ac:dyDescent="0.25">
      <c r="A19" s="5" t="s">
        <v>50</v>
      </c>
      <c r="B19" s="1" t="s">
        <v>71</v>
      </c>
    </row>
    <row r="20" spans="1:2" x14ac:dyDescent="0.25">
      <c r="A20" s="5" t="s">
        <v>51</v>
      </c>
      <c r="B20" s="1" t="s">
        <v>74</v>
      </c>
    </row>
    <row r="21" spans="1:2" x14ac:dyDescent="0.25">
      <c r="A21" s="5" t="s">
        <v>52</v>
      </c>
      <c r="B21" s="11">
        <v>29451</v>
      </c>
    </row>
    <row r="22" spans="1:2" x14ac:dyDescent="0.25">
      <c r="A22" s="4" t="s">
        <v>53</v>
      </c>
      <c r="B22" s="1"/>
    </row>
    <row r="23" spans="1:2" x14ac:dyDescent="0.25">
      <c r="A23" s="5" t="s">
        <v>54</v>
      </c>
      <c r="B23" s="1"/>
    </row>
    <row r="24" spans="1:2" x14ac:dyDescent="0.25">
      <c r="A24" s="5" t="s">
        <v>55</v>
      </c>
      <c r="B24" s="1"/>
    </row>
    <row r="25" spans="1:2" x14ac:dyDescent="0.25">
      <c r="A25" s="13" t="s">
        <v>76</v>
      </c>
      <c r="B25" s="1" t="s">
        <v>37</v>
      </c>
    </row>
    <row r="26" spans="1:2" x14ac:dyDescent="0.25">
      <c r="A26" s="5" t="s">
        <v>56</v>
      </c>
      <c r="B26" s="1"/>
    </row>
    <row r="27" spans="1:2" x14ac:dyDescent="0.25">
      <c r="A27" s="5" t="s">
        <v>57</v>
      </c>
      <c r="B27" s="1"/>
    </row>
    <row r="28" spans="1:2" x14ac:dyDescent="0.25">
      <c r="A28" s="4" t="s">
        <v>58</v>
      </c>
      <c r="B28" s="1"/>
    </row>
    <row r="29" spans="1:2" x14ac:dyDescent="0.25">
      <c r="A29" s="5" t="s">
        <v>59</v>
      </c>
      <c r="B29" s="1" t="s">
        <v>60</v>
      </c>
    </row>
    <row r="30" spans="1:2" x14ac:dyDescent="0.25">
      <c r="A30" s="4" t="s">
        <v>5</v>
      </c>
      <c r="B30" s="1"/>
    </row>
    <row r="31" spans="1:2" x14ac:dyDescent="0.25">
      <c r="A31" s="5" t="s">
        <v>6</v>
      </c>
      <c r="B31" s="1"/>
    </row>
    <row r="32" spans="1:2" x14ac:dyDescent="0.25">
      <c r="A32" s="5" t="s">
        <v>7</v>
      </c>
      <c r="B32" s="1"/>
    </row>
    <row r="33" spans="1:4" x14ac:dyDescent="0.25">
      <c r="A33" s="5" t="s">
        <v>8</v>
      </c>
      <c r="B33" s="1" t="s">
        <v>72</v>
      </c>
    </row>
    <row r="34" spans="1:4" x14ac:dyDescent="0.25">
      <c r="A34" s="5" t="s">
        <v>11</v>
      </c>
      <c r="B34" s="1" t="s">
        <v>73</v>
      </c>
    </row>
    <row r="35" spans="1:4" x14ac:dyDescent="0.25">
      <c r="A35" s="5" t="s">
        <v>12</v>
      </c>
      <c r="B35" s="2"/>
    </row>
    <row r="36" spans="1:4" x14ac:dyDescent="0.25">
      <c r="A36" s="5" t="s">
        <v>13</v>
      </c>
      <c r="B36" s="1"/>
    </row>
    <row r="37" spans="1:4" x14ac:dyDescent="0.25">
      <c r="A37" s="5" t="s">
        <v>14</v>
      </c>
      <c r="B37" s="1"/>
    </row>
    <row r="38" spans="1:4" x14ac:dyDescent="0.25">
      <c r="A38" s="5" t="s">
        <v>15</v>
      </c>
      <c r="B38" s="1" t="s">
        <v>22</v>
      </c>
    </row>
    <row r="39" spans="1:4" x14ac:dyDescent="0.25">
      <c r="A39" s="5" t="s">
        <v>23</v>
      </c>
      <c r="B39" s="1" t="s">
        <v>61</v>
      </c>
    </row>
    <row r="40" spans="1:4" x14ac:dyDescent="0.25">
      <c r="A40" s="5" t="s">
        <v>24</v>
      </c>
      <c r="B40" s="1" t="s">
        <v>74</v>
      </c>
    </row>
    <row r="41" spans="1:4" x14ac:dyDescent="0.25">
      <c r="A41" s="5" t="s">
        <v>25</v>
      </c>
      <c r="B41" s="1" t="s">
        <v>75</v>
      </c>
    </row>
    <row r="42" spans="1:4" x14ac:dyDescent="0.25">
      <c r="A42" s="5" t="s">
        <v>26</v>
      </c>
      <c r="B42" s="6"/>
    </row>
    <row r="43" spans="1:4" x14ac:dyDescent="0.25">
      <c r="A43" s="5" t="s">
        <v>27</v>
      </c>
      <c r="B43" s="1" t="s">
        <v>28</v>
      </c>
    </row>
    <row r="44" spans="1:4" x14ac:dyDescent="0.25">
      <c r="A44" s="7" t="s">
        <v>29</v>
      </c>
      <c r="B44" s="8"/>
    </row>
    <row r="45" spans="1:4" x14ac:dyDescent="0.25">
      <c r="A45" s="9" t="s">
        <v>30</v>
      </c>
      <c r="B45" s="10"/>
      <c r="D45" s="12"/>
    </row>
    <row r="46" spans="1:4" x14ac:dyDescent="0.25">
      <c r="A46" s="5" t="s">
        <v>31</v>
      </c>
      <c r="B46" s="10">
        <f ca="1">TODAY()</f>
        <v>45855</v>
      </c>
    </row>
    <row r="47" spans="1:4" x14ac:dyDescent="0.25">
      <c r="A47" s="5" t="s">
        <v>32</v>
      </c>
      <c r="B47" s="10">
        <f ca="1">B46+365</f>
        <v>46220</v>
      </c>
    </row>
    <row r="48" spans="1:4" x14ac:dyDescent="0.25">
      <c r="A48" s="5" t="s">
        <v>33</v>
      </c>
      <c r="B48" s="1"/>
    </row>
    <row r="49" spans="1:2" x14ac:dyDescent="0.25">
      <c r="A49" s="5" t="s">
        <v>34</v>
      </c>
      <c r="B49" s="1"/>
    </row>
    <row r="50" spans="1:2" x14ac:dyDescent="0.25">
      <c r="A50" s="5" t="s">
        <v>35</v>
      </c>
      <c r="B50" s="1"/>
    </row>
    <row r="51" spans="1:2" x14ac:dyDescent="0.25">
      <c r="A51" s="5" t="s">
        <v>36</v>
      </c>
      <c r="B51" s="1">
        <v>1380480</v>
      </c>
    </row>
    <row r="52" spans="1:2" x14ac:dyDescent="0.25">
      <c r="A52" s="9" t="s">
        <v>95</v>
      </c>
      <c r="B52" s="1"/>
    </row>
    <row r="53" spans="1:2" x14ac:dyDescent="0.25">
      <c r="A53" s="5" t="s">
        <v>96</v>
      </c>
      <c r="B53" s="1" t="s">
        <v>37</v>
      </c>
    </row>
    <row r="54" spans="1:2" x14ac:dyDescent="0.25">
      <c r="A54" s="5" t="s">
        <v>97</v>
      </c>
      <c r="B54" s="1" t="s">
        <v>10</v>
      </c>
    </row>
    <row r="55" spans="1:2" x14ac:dyDescent="0.25">
      <c r="A55" s="5" t="s">
        <v>98</v>
      </c>
      <c r="B55" s="1" t="s">
        <v>10</v>
      </c>
    </row>
    <row r="56" spans="1:2" x14ac:dyDescent="0.25">
      <c r="A56" s="5" t="s">
        <v>99</v>
      </c>
      <c r="B56" s="1" t="s">
        <v>37</v>
      </c>
    </row>
    <row r="57" spans="1:2" x14ac:dyDescent="0.25">
      <c r="A57" s="5" t="s">
        <v>100</v>
      </c>
      <c r="B57" s="1" t="s">
        <v>10</v>
      </c>
    </row>
    <row r="58" spans="1:2" x14ac:dyDescent="0.25">
      <c r="A58" s="5" t="s">
        <v>101</v>
      </c>
      <c r="B58" s="1" t="s">
        <v>10</v>
      </c>
    </row>
    <row r="59" spans="1:2" x14ac:dyDescent="0.25">
      <c r="A59" s="5" t="s">
        <v>102</v>
      </c>
      <c r="B59" s="1" t="s">
        <v>10</v>
      </c>
    </row>
    <row r="60" spans="1:2" x14ac:dyDescent="0.25">
      <c r="A60" s="5" t="s">
        <v>103</v>
      </c>
      <c r="B60" s="1" t="s">
        <v>10</v>
      </c>
    </row>
    <row r="61" spans="1:2" x14ac:dyDescent="0.25">
      <c r="A61" s="5" t="s">
        <v>104</v>
      </c>
      <c r="B61" s="1" t="s">
        <v>10</v>
      </c>
    </row>
    <row r="62" spans="1:2" x14ac:dyDescent="0.25">
      <c r="A62" s="5" t="s">
        <v>105</v>
      </c>
      <c r="B62" s="1" t="s">
        <v>10</v>
      </c>
    </row>
    <row r="63" spans="1:2" x14ac:dyDescent="0.25">
      <c r="A63" s="5" t="s">
        <v>106</v>
      </c>
      <c r="B63" s="1" t="s">
        <v>10</v>
      </c>
    </row>
    <row r="64" spans="1:2" x14ac:dyDescent="0.25">
      <c r="A64" s="5" t="s">
        <v>107</v>
      </c>
      <c r="B64" s="1" t="s">
        <v>37</v>
      </c>
    </row>
    <row r="65" spans="1:4" x14ac:dyDescent="0.25">
      <c r="A65" s="5" t="s">
        <v>108</v>
      </c>
      <c r="B65" s="1" t="s">
        <v>10</v>
      </c>
    </row>
    <row r="66" spans="1:4" x14ac:dyDescent="0.25">
      <c r="A66" s="4" t="s">
        <v>62</v>
      </c>
      <c r="B66" s="1"/>
    </row>
    <row r="67" spans="1:4" x14ac:dyDescent="0.25">
      <c r="A67" s="5" t="s">
        <v>77</v>
      </c>
      <c r="B67" s="1">
        <v>346899200</v>
      </c>
      <c r="C67" s="1">
        <v>125000000</v>
      </c>
    </row>
    <row r="68" spans="1:4" x14ac:dyDescent="0.25">
      <c r="A68" s="4" t="s">
        <v>63</v>
      </c>
      <c r="B68" s="1"/>
      <c r="D68">
        <v>346899200</v>
      </c>
    </row>
    <row r="69" spans="1:4" x14ac:dyDescent="0.25">
      <c r="A69" s="5" t="s">
        <v>109</v>
      </c>
      <c r="B69" s="1" t="s">
        <v>37</v>
      </c>
    </row>
    <row r="70" spans="1:4" x14ac:dyDescent="0.25">
      <c r="A70" s="5" t="s">
        <v>158</v>
      </c>
      <c r="B70" s="1">
        <v>0</v>
      </c>
    </row>
    <row r="71" spans="1:4" x14ac:dyDescent="0.25">
      <c r="A71" s="5" t="s">
        <v>78</v>
      </c>
      <c r="B71" s="1">
        <v>300</v>
      </c>
    </row>
    <row r="72" spans="1:4" x14ac:dyDescent="0.25">
      <c r="A72" s="5" t="s">
        <v>79</v>
      </c>
      <c r="B72" s="1">
        <v>200</v>
      </c>
    </row>
    <row r="73" spans="1:4" x14ac:dyDescent="0.25">
      <c r="A73" s="5" t="s">
        <v>80</v>
      </c>
      <c r="B73" s="1">
        <v>1</v>
      </c>
    </row>
    <row r="74" spans="1:4" x14ac:dyDescent="0.25">
      <c r="A74" s="5" t="s">
        <v>110</v>
      </c>
      <c r="B74" s="1" t="s">
        <v>10</v>
      </c>
    </row>
    <row r="75" spans="1:4" x14ac:dyDescent="0.25">
      <c r="A75" s="5" t="s">
        <v>111</v>
      </c>
      <c r="B75" s="1"/>
    </row>
    <row r="76" spans="1:4" x14ac:dyDescent="0.25">
      <c r="A76" s="5" t="s">
        <v>112</v>
      </c>
      <c r="B76" s="1"/>
    </row>
    <row r="77" spans="1:4" x14ac:dyDescent="0.25">
      <c r="A77" s="5" t="s">
        <v>113</v>
      </c>
      <c r="B77" s="1"/>
    </row>
    <row r="78" spans="1:4" x14ac:dyDescent="0.25">
      <c r="A78" s="5" t="s">
        <v>114</v>
      </c>
      <c r="B78" s="1" t="s">
        <v>10</v>
      </c>
    </row>
    <row r="79" spans="1:4" x14ac:dyDescent="0.25">
      <c r="A79" s="5" t="s">
        <v>115</v>
      </c>
      <c r="B79" s="1"/>
    </row>
    <row r="80" spans="1:4" x14ac:dyDescent="0.25">
      <c r="A80" s="5" t="s">
        <v>116</v>
      </c>
      <c r="B80" s="1"/>
    </row>
    <row r="81" spans="1:2" x14ac:dyDescent="0.25">
      <c r="A81" s="5" t="s">
        <v>117</v>
      </c>
      <c r="B81" s="1"/>
    </row>
    <row r="82" spans="1:2" x14ac:dyDescent="0.25">
      <c r="A82" s="5" t="s">
        <v>118</v>
      </c>
      <c r="B82" s="1" t="s">
        <v>37</v>
      </c>
    </row>
    <row r="83" spans="1:2" x14ac:dyDescent="0.25">
      <c r="A83" s="5" t="s">
        <v>159</v>
      </c>
      <c r="B83" s="1">
        <v>1</v>
      </c>
    </row>
    <row r="84" spans="1:2" x14ac:dyDescent="0.25">
      <c r="A84" s="5" t="s">
        <v>81</v>
      </c>
      <c r="B84" s="1">
        <v>300</v>
      </c>
    </row>
    <row r="85" spans="1:2" x14ac:dyDescent="0.25">
      <c r="A85" s="5" t="s">
        <v>82</v>
      </c>
      <c r="B85" s="1">
        <v>200</v>
      </c>
    </row>
    <row r="86" spans="1:2" x14ac:dyDescent="0.25">
      <c r="A86" s="5" t="s">
        <v>83</v>
      </c>
      <c r="B86" s="1">
        <v>0.03</v>
      </c>
    </row>
    <row r="87" spans="1:2" x14ac:dyDescent="0.25">
      <c r="A87" s="5" t="s">
        <v>119</v>
      </c>
      <c r="B87" s="1" t="s">
        <v>10</v>
      </c>
    </row>
    <row r="88" spans="1:2" x14ac:dyDescent="0.25">
      <c r="A88" s="5" t="s">
        <v>160</v>
      </c>
      <c r="B88" s="1">
        <v>2</v>
      </c>
    </row>
    <row r="89" spans="1:2" x14ac:dyDescent="0.25">
      <c r="A89" s="5" t="s">
        <v>84</v>
      </c>
      <c r="B89" s="1">
        <v>300</v>
      </c>
    </row>
    <row r="90" spans="1:2" x14ac:dyDescent="0.25">
      <c r="A90" s="5" t="s">
        <v>85</v>
      </c>
      <c r="B90" s="1">
        <v>200</v>
      </c>
    </row>
    <row r="91" spans="1:2" x14ac:dyDescent="0.25">
      <c r="A91" s="5" t="s">
        <v>86</v>
      </c>
      <c r="B91" s="1">
        <v>1</v>
      </c>
    </row>
    <row r="92" spans="1:2" x14ac:dyDescent="0.25">
      <c r="A92" s="5" t="s">
        <v>120</v>
      </c>
      <c r="B92" s="1" t="s">
        <v>10</v>
      </c>
    </row>
    <row r="93" spans="1:2" x14ac:dyDescent="0.25">
      <c r="A93" s="5" t="s">
        <v>121</v>
      </c>
      <c r="B93" s="1"/>
    </row>
    <row r="94" spans="1:2" x14ac:dyDescent="0.25">
      <c r="A94" s="5" t="s">
        <v>122</v>
      </c>
      <c r="B94" s="1"/>
    </row>
    <row r="95" spans="1:2" x14ac:dyDescent="0.25">
      <c r="A95" s="5" t="s">
        <v>123</v>
      </c>
      <c r="B95" s="1"/>
    </row>
    <row r="96" spans="1:2" x14ac:dyDescent="0.25">
      <c r="A96" s="5" t="s">
        <v>124</v>
      </c>
      <c r="B96" s="1" t="s">
        <v>10</v>
      </c>
    </row>
    <row r="97" spans="1:2" x14ac:dyDescent="0.25">
      <c r="A97" s="13" t="s">
        <v>125</v>
      </c>
      <c r="B97" s="1"/>
    </row>
    <row r="98" spans="1:2" x14ac:dyDescent="0.25">
      <c r="A98" s="5" t="s">
        <v>126</v>
      </c>
      <c r="B98" s="1"/>
    </row>
    <row r="99" spans="1:2" x14ac:dyDescent="0.25">
      <c r="A99" s="5" t="s">
        <v>127</v>
      </c>
      <c r="B99" s="1"/>
    </row>
    <row r="100" spans="1:2" x14ac:dyDescent="0.25">
      <c r="A100" s="5" t="s">
        <v>128</v>
      </c>
      <c r="B100" s="1" t="s">
        <v>10</v>
      </c>
    </row>
    <row r="101" spans="1:2" x14ac:dyDescent="0.25">
      <c r="A101" s="13" t="s">
        <v>129</v>
      </c>
      <c r="B101" s="1"/>
    </row>
    <row r="102" spans="1:2" x14ac:dyDescent="0.25">
      <c r="A102" s="5" t="s">
        <v>130</v>
      </c>
      <c r="B102" s="1"/>
    </row>
    <row r="103" spans="1:2" x14ac:dyDescent="0.25">
      <c r="A103" s="5" t="s">
        <v>131</v>
      </c>
      <c r="B103" s="1"/>
    </row>
    <row r="104" spans="1:2" x14ac:dyDescent="0.25">
      <c r="A104" s="5" t="s">
        <v>132</v>
      </c>
      <c r="B104" s="1" t="s">
        <v>10</v>
      </c>
    </row>
    <row r="105" spans="1:2" x14ac:dyDescent="0.25">
      <c r="A105" s="13" t="s">
        <v>133</v>
      </c>
      <c r="B105" s="1"/>
    </row>
    <row r="106" spans="1:2" x14ac:dyDescent="0.25">
      <c r="A106" s="5" t="s">
        <v>134</v>
      </c>
      <c r="B106" s="1"/>
    </row>
    <row r="107" spans="1:2" x14ac:dyDescent="0.25">
      <c r="A107" s="5" t="s">
        <v>135</v>
      </c>
      <c r="B107" s="1"/>
    </row>
    <row r="108" spans="1:2" x14ac:dyDescent="0.25">
      <c r="A108" s="5" t="s">
        <v>136</v>
      </c>
      <c r="B108" s="1" t="s">
        <v>10</v>
      </c>
    </row>
    <row r="109" spans="1:2" x14ac:dyDescent="0.25">
      <c r="A109" s="13" t="s">
        <v>137</v>
      </c>
      <c r="B109" s="1"/>
    </row>
    <row r="110" spans="1:2" x14ac:dyDescent="0.25">
      <c r="A110" s="5" t="s">
        <v>138</v>
      </c>
      <c r="B110" s="1"/>
    </row>
    <row r="111" spans="1:2" x14ac:dyDescent="0.25">
      <c r="A111" s="5" t="s">
        <v>139</v>
      </c>
      <c r="B111" s="1"/>
    </row>
    <row r="112" spans="1:2" x14ac:dyDescent="0.25">
      <c r="A112" s="5" t="s">
        <v>140</v>
      </c>
      <c r="B112" s="1" t="s">
        <v>10</v>
      </c>
    </row>
    <row r="113" spans="1:2" x14ac:dyDescent="0.25">
      <c r="A113" s="13" t="s">
        <v>141</v>
      </c>
      <c r="B113" s="1"/>
    </row>
    <row r="114" spans="1:2" x14ac:dyDescent="0.25">
      <c r="A114" s="5" t="s">
        <v>142</v>
      </c>
      <c r="B114" s="1"/>
    </row>
    <row r="115" spans="1:2" x14ac:dyDescent="0.25">
      <c r="A115" s="5" t="s">
        <v>143</v>
      </c>
      <c r="B115" s="1"/>
    </row>
    <row r="116" spans="1:2" x14ac:dyDescent="0.25">
      <c r="A116" s="5" t="s">
        <v>144</v>
      </c>
      <c r="B116" s="1" t="s">
        <v>37</v>
      </c>
    </row>
    <row r="117" spans="1:2" x14ac:dyDescent="0.25">
      <c r="A117" s="5" t="s">
        <v>161</v>
      </c>
      <c r="B117" s="1">
        <v>2</v>
      </c>
    </row>
    <row r="118" spans="1:2" x14ac:dyDescent="0.25">
      <c r="A118" s="5" t="s">
        <v>87</v>
      </c>
      <c r="B118" s="1">
        <v>100</v>
      </c>
    </row>
    <row r="119" spans="1:2" x14ac:dyDescent="0.25">
      <c r="A119" s="5" t="s">
        <v>88</v>
      </c>
      <c r="B119" s="1">
        <v>100</v>
      </c>
    </row>
    <row r="120" spans="1:2" x14ac:dyDescent="0.25">
      <c r="A120" s="5" t="s">
        <v>89</v>
      </c>
      <c r="B120" s="1">
        <v>10</v>
      </c>
    </row>
    <row r="121" spans="1:2" x14ac:dyDescent="0.25">
      <c r="A121" s="5" t="s">
        <v>145</v>
      </c>
      <c r="B121" s="1" t="s">
        <v>10</v>
      </c>
    </row>
    <row r="122" spans="1:2" x14ac:dyDescent="0.25">
      <c r="A122" s="5" t="s">
        <v>146</v>
      </c>
      <c r="B122" s="1"/>
    </row>
    <row r="123" spans="1:2" x14ac:dyDescent="0.25">
      <c r="A123" s="5" t="s">
        <v>147</v>
      </c>
      <c r="B123" s="1"/>
    </row>
    <row r="124" spans="1:2" x14ac:dyDescent="0.25">
      <c r="A124" s="5" t="s">
        <v>148</v>
      </c>
      <c r="B124" s="1"/>
    </row>
    <row r="125" spans="1:2" x14ac:dyDescent="0.25">
      <c r="A125" s="5" t="s">
        <v>94</v>
      </c>
      <c r="B125" s="1">
        <v>500</v>
      </c>
    </row>
    <row r="126" spans="1:2" x14ac:dyDescent="0.25">
      <c r="A126" s="4" t="s">
        <v>90</v>
      </c>
      <c r="B126" s="14">
        <v>150000</v>
      </c>
    </row>
    <row r="127" spans="1:2" x14ac:dyDescent="0.25">
      <c r="A127" s="4" t="s">
        <v>149</v>
      </c>
      <c r="B127" s="14"/>
    </row>
    <row r="128" spans="1:2" x14ac:dyDescent="0.25">
      <c r="A128" s="4" t="s">
        <v>150</v>
      </c>
      <c r="B128" s="14"/>
    </row>
    <row r="129" spans="1:4" x14ac:dyDescent="0.25">
      <c r="A129" s="4" t="s">
        <v>91</v>
      </c>
      <c r="B129" s="14">
        <v>110000</v>
      </c>
    </row>
    <row r="130" spans="1:4" x14ac:dyDescent="0.25">
      <c r="A130" s="4" t="s">
        <v>92</v>
      </c>
    </row>
    <row r="131" spans="1:4" x14ac:dyDescent="0.25">
      <c r="A131" s="4" t="s">
        <v>151</v>
      </c>
      <c r="B131" s="14"/>
    </row>
    <row r="132" spans="1:4" x14ac:dyDescent="0.25">
      <c r="A132" s="4" t="s">
        <v>152</v>
      </c>
      <c r="B132" s="14"/>
      <c r="D132">
        <v>273672</v>
      </c>
    </row>
    <row r="133" spans="1:4" x14ac:dyDescent="0.25">
      <c r="A133" s="4" t="s">
        <v>153</v>
      </c>
      <c r="B133" s="14"/>
    </row>
    <row r="134" spans="1:4" x14ac:dyDescent="0.25">
      <c r="A134" s="4" t="s">
        <v>154</v>
      </c>
      <c r="B134" s="14"/>
    </row>
    <row r="135" spans="1:4" x14ac:dyDescent="0.25">
      <c r="A135" s="4" t="s">
        <v>155</v>
      </c>
      <c r="B135" s="14"/>
    </row>
    <row r="136" spans="1:4" x14ac:dyDescent="0.25">
      <c r="A136" s="4" t="s">
        <v>156</v>
      </c>
      <c r="B136" s="14"/>
    </row>
    <row r="137" spans="1:4" x14ac:dyDescent="0.25">
      <c r="A137" s="4" t="s">
        <v>93</v>
      </c>
      <c r="B137" s="14">
        <v>13672</v>
      </c>
    </row>
    <row r="138" spans="1:4" x14ac:dyDescent="0.25">
      <c r="A138" s="5" t="s">
        <v>157</v>
      </c>
      <c r="B138" s="1"/>
    </row>
    <row r="139" spans="1:4" x14ac:dyDescent="0.25">
      <c r="A139" s="5" t="s">
        <v>7</v>
      </c>
      <c r="B139" s="2" t="s">
        <v>9</v>
      </c>
    </row>
    <row r="140" spans="1:4" x14ac:dyDescent="0.25">
      <c r="A140" s="5" t="s">
        <v>8</v>
      </c>
      <c r="B140" s="1" t="s">
        <v>72</v>
      </c>
    </row>
    <row r="141" spans="1:4" x14ac:dyDescent="0.25">
      <c r="A141" s="5" t="s">
        <v>2</v>
      </c>
      <c r="B141" s="2" t="s">
        <v>10</v>
      </c>
    </row>
    <row r="142" spans="1:4" x14ac:dyDescent="0.25">
      <c r="A142" s="5" t="s">
        <v>65</v>
      </c>
      <c r="B142" s="2" t="s">
        <v>66</v>
      </c>
    </row>
    <row r="143" spans="1:4" x14ac:dyDescent="0.25">
      <c r="A143" s="5" t="s">
        <v>64</v>
      </c>
      <c r="B143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2025-07-17T10:43:14Z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