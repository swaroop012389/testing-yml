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cglobal-my.sharepoint.com/personal/joanna_kitts-jensen_victorinsurance_com/Documents/Desktop/"/>
    </mc:Choice>
  </mc:AlternateContent>
  <xr:revisionPtr revIDLastSave="50" documentId="8_{8A473DB8-F26A-48C6-8281-32A0234889F7}" xr6:coauthVersionLast="47" xr6:coauthVersionMax="47" xr10:uidLastSave="{6490FAB0-8861-4AA4-A1F1-7982C3DAD29B}"/>
  <bookViews>
    <workbookView xWindow="45972" yWindow="-108" windowWidth="30936" windowHeight="16896" xr2:uid="{A52D737E-7588-4E00-A8AA-19918FFA86D1}"/>
  </bookViews>
  <sheets>
    <sheet name="Model SOV" sheetId="1" r:id="rId1"/>
    <sheet name="State Premium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7" i="1" l="1"/>
  <c r="AW47" i="1"/>
  <c r="AY47" i="1" s="1"/>
  <c r="AX46" i="1"/>
  <c r="AW46" i="1"/>
  <c r="AY46" i="1" s="1"/>
  <c r="AX45" i="1"/>
  <c r="AW45" i="1"/>
  <c r="AY45" i="1" s="1"/>
  <c r="AX44" i="1"/>
  <c r="AW44" i="1"/>
  <c r="AX43" i="1"/>
  <c r="AW43" i="1"/>
  <c r="AY43" i="1" s="1"/>
  <c r="AX42" i="1"/>
  <c r="AY42" i="1" s="1"/>
  <c r="AW42" i="1"/>
  <c r="AX41" i="1"/>
  <c r="AW41" i="1"/>
  <c r="AY41" i="1" s="1"/>
  <c r="AX40" i="1"/>
  <c r="AW40" i="1"/>
  <c r="AY40" i="1" s="1"/>
  <c r="AX39" i="1"/>
  <c r="AY39" i="1" s="1"/>
  <c r="AW39" i="1"/>
  <c r="AX38" i="1"/>
  <c r="AW38" i="1"/>
  <c r="AY38" i="1" s="1"/>
  <c r="AX37" i="1"/>
  <c r="AW37" i="1"/>
  <c r="AX36" i="1"/>
  <c r="AW36" i="1"/>
  <c r="AX35" i="1"/>
  <c r="AW35" i="1"/>
  <c r="AX34" i="1"/>
  <c r="AW34" i="1"/>
  <c r="AY34" i="1" s="1"/>
  <c r="AX33" i="1"/>
  <c r="AW33" i="1"/>
  <c r="AY33" i="1" s="1"/>
  <c r="AX32" i="1"/>
  <c r="AW32" i="1"/>
  <c r="AX31" i="1"/>
  <c r="AW31" i="1"/>
  <c r="AY31" i="1" s="1"/>
  <c r="B49" i="2" s="1"/>
  <c r="AX30" i="1"/>
  <c r="AW30" i="1"/>
  <c r="AY30" i="1" s="1"/>
  <c r="AX29" i="1"/>
  <c r="AW29" i="1"/>
  <c r="AY29" i="1" s="1"/>
  <c r="AX28" i="1"/>
  <c r="AW28" i="1"/>
  <c r="AX27" i="1"/>
  <c r="AW27" i="1"/>
  <c r="AY27" i="1" s="1"/>
  <c r="AX26" i="1"/>
  <c r="AW26" i="1"/>
  <c r="AY26" i="1" s="1"/>
  <c r="AY25" i="1"/>
  <c r="AX25" i="1"/>
  <c r="AW25" i="1"/>
  <c r="AX24" i="1"/>
  <c r="AW24" i="1"/>
  <c r="AY24" i="1" s="1"/>
  <c r="AX23" i="1"/>
  <c r="AW23" i="1"/>
  <c r="AY23" i="1" s="1"/>
  <c r="AX22" i="1"/>
  <c r="AW22" i="1"/>
  <c r="AX21" i="1"/>
  <c r="AW21" i="1"/>
  <c r="AY21" i="1" s="1"/>
  <c r="AX20" i="1"/>
  <c r="AY20" i="1" s="1"/>
  <c r="B13" i="2" s="1"/>
  <c r="AW20" i="1"/>
  <c r="AX19" i="1"/>
  <c r="AW19" i="1"/>
  <c r="AY19" i="1" s="1"/>
  <c r="AX18" i="1"/>
  <c r="AW18" i="1"/>
  <c r="AY18" i="1" s="1"/>
  <c r="AY17" i="1"/>
  <c r="AX17" i="1"/>
  <c r="AW17" i="1"/>
  <c r="AX16" i="1"/>
  <c r="AW16" i="1"/>
  <c r="AY16" i="1" s="1"/>
  <c r="AX15" i="1"/>
  <c r="AW15" i="1"/>
  <c r="AY15" i="1" s="1"/>
  <c r="AX14" i="1"/>
  <c r="AW14" i="1"/>
  <c r="AX13" i="1"/>
  <c r="AW13" i="1"/>
  <c r="AY13" i="1" s="1"/>
  <c r="AX12" i="1"/>
  <c r="AY12" i="1" s="1"/>
  <c r="AW12" i="1"/>
  <c r="AX11" i="1"/>
  <c r="AW11" i="1"/>
  <c r="AY11" i="1" s="1"/>
  <c r="AY10" i="1"/>
  <c r="AX10" i="1"/>
  <c r="AW10" i="1"/>
  <c r="AX9" i="1"/>
  <c r="AY9" i="1" s="1"/>
  <c r="AW9" i="1"/>
  <c r="AX8" i="1"/>
  <c r="AW8" i="1"/>
  <c r="AY8" i="1" s="1"/>
  <c r="B17" i="2" s="1"/>
  <c r="AY7" i="1"/>
  <c r="AX7" i="1"/>
  <c r="AW7" i="1"/>
  <c r="AX6" i="1"/>
  <c r="AW6" i="1"/>
  <c r="AY6" i="1" s="1"/>
  <c r="AX5" i="1"/>
  <c r="AW5" i="1"/>
  <c r="AY5" i="1" s="1"/>
  <c r="AX4" i="1"/>
  <c r="AW4" i="1"/>
  <c r="AX3" i="1"/>
  <c r="AW3" i="1"/>
  <c r="AY3" i="1" s="1"/>
  <c r="AX2" i="1"/>
  <c r="AY2" i="1" s="1"/>
  <c r="B6" i="2" s="1"/>
  <c r="AW2" i="1"/>
  <c r="B4" i="2"/>
  <c r="B5" i="2"/>
  <c r="B7" i="2"/>
  <c r="B9" i="2"/>
  <c r="B10" i="2"/>
  <c r="B12" i="2"/>
  <c r="B14" i="2"/>
  <c r="B15" i="2"/>
  <c r="B18" i="2"/>
  <c r="B20" i="2"/>
  <c r="B21" i="2"/>
  <c r="B23" i="2"/>
  <c r="B25" i="2"/>
  <c r="B27" i="2"/>
  <c r="B28" i="2"/>
  <c r="B30" i="2"/>
  <c r="B32" i="2"/>
  <c r="B33" i="2"/>
  <c r="B34" i="2"/>
  <c r="B36" i="2"/>
  <c r="B37" i="2"/>
  <c r="B39" i="2"/>
  <c r="B41" i="2"/>
  <c r="B42" i="2"/>
  <c r="B43" i="2"/>
  <c r="B46" i="2"/>
  <c r="B48" i="2"/>
  <c r="B50" i="2"/>
  <c r="B51" i="2"/>
  <c r="B52" i="2"/>
  <c r="B38" i="2" l="1"/>
  <c r="AY4" i="1"/>
  <c r="B8" i="2" s="1"/>
  <c r="AY44" i="1"/>
  <c r="AY22" i="1"/>
  <c r="B35" i="2" s="1"/>
  <c r="AY28" i="1"/>
  <c r="AY32" i="1"/>
  <c r="AY35" i="1"/>
  <c r="B3" i="2" s="1"/>
  <c r="AY36" i="1"/>
  <c r="B44" i="2"/>
  <c r="AY14" i="1"/>
  <c r="B40" i="2" s="1"/>
  <c r="AY37" i="1"/>
  <c r="B19" i="2"/>
  <c r="B16" i="2"/>
  <c r="B31" i="2"/>
  <c r="B47" i="2"/>
  <c r="B45" i="2"/>
  <c r="B29" i="2"/>
  <c r="B26" i="2"/>
  <c r="B24" i="2"/>
  <c r="B22" i="2" l="1"/>
  <c r="B11" i="2"/>
</calcChain>
</file>

<file path=xl/sharedStrings.xml><?xml version="1.0" encoding="utf-8"?>
<sst xmlns="http://schemas.openxmlformats.org/spreadsheetml/2006/main" count="1332" uniqueCount="261">
  <si>
    <t>Uniq ID</t>
  </si>
  <si>
    <t>Location Number</t>
  </si>
  <si>
    <t>Address 1</t>
  </si>
  <si>
    <t>Address 2</t>
  </si>
  <si>
    <t>City</t>
  </si>
  <si>
    <t>State</t>
  </si>
  <si>
    <t>Zip Code (5 digit)</t>
  </si>
  <si>
    <t>Zip Code (4 digit)</t>
  </si>
  <si>
    <t>Latitude</t>
  </si>
  <si>
    <t>Longitude</t>
  </si>
  <si>
    <t>Real Property Value</t>
  </si>
  <si>
    <t>Personal Property (BPP) Value</t>
  </si>
  <si>
    <t>Business Income Limit</t>
  </si>
  <si>
    <t>Year Built</t>
  </si>
  <si>
    <t>Number of Stories</t>
  </si>
  <si>
    <t>Square Feet</t>
  </si>
  <si>
    <t># of Buildings</t>
  </si>
  <si>
    <t>Construction Class</t>
  </si>
  <si>
    <t>NAIC Code</t>
  </si>
  <si>
    <t>Occupancy Description</t>
  </si>
  <si>
    <t>Insured's Interest</t>
  </si>
  <si>
    <t>Inspection Contact</t>
  </si>
  <si>
    <t>Inspection Phone</t>
  </si>
  <si>
    <t>Cladding Type</t>
  </si>
  <si>
    <t>Roof Equipment</t>
  </si>
  <si>
    <t>Roof Geometry</t>
  </si>
  <si>
    <t>Roof System Covering</t>
  </si>
  <si>
    <t>Roof Anchor</t>
  </si>
  <si>
    <t>Roof Coverage</t>
  </si>
  <si>
    <t>Roof Year Built</t>
  </si>
  <si>
    <t>Opening Protection</t>
  </si>
  <si>
    <t>Building Year Upgrade</t>
  </si>
  <si>
    <t>Soft Story</t>
  </si>
  <si>
    <t>Building Shape</t>
  </si>
  <si>
    <t>Vertical Irregularity</t>
  </si>
  <si>
    <t>Wall Type</t>
  </si>
  <si>
    <t>Earthquake Retrofit</t>
  </si>
  <si>
    <t>Security</t>
  </si>
  <si>
    <t>Fire Protection</t>
  </si>
  <si>
    <t>Protection Class</t>
  </si>
  <si>
    <t>% Occupancy</t>
  </si>
  <si>
    <t>Avg Monthly Rental Value</t>
  </si>
  <si>
    <t>Base Flood Elevation</t>
  </si>
  <si>
    <t>Custom Elevation</t>
  </si>
  <si>
    <t>Custom Flood Zone</t>
  </si>
  <si>
    <t>Defensible Space</t>
  </si>
  <si>
    <t>Roof Hail Impact Resistance</t>
  </si>
  <si>
    <t>Glass Percentage</t>
  </si>
  <si>
    <t>Cat Premium</t>
  </si>
  <si>
    <t>AOP Premium</t>
  </si>
  <si>
    <t>Total Premium</t>
  </si>
  <si>
    <t>A</t>
  </si>
  <si>
    <t>AL</t>
  </si>
  <si>
    <t>Lessor</t>
  </si>
  <si>
    <t>Unknown</t>
  </si>
  <si>
    <t>Present</t>
  </si>
  <si>
    <t>Flat</t>
  </si>
  <si>
    <t>Metal</t>
  </si>
  <si>
    <t>RC</t>
  </si>
  <si>
    <t>No</t>
  </si>
  <si>
    <t xml:space="preserve">Regular </t>
  </si>
  <si>
    <t>100 feet</t>
  </si>
  <si>
    <t>Class B</t>
  </si>
  <si>
    <t>&lt;5%</t>
  </si>
  <si>
    <t>B</t>
  </si>
  <si>
    <t>C</t>
  </si>
  <si>
    <t>FL</t>
  </si>
  <si>
    <t>D</t>
  </si>
  <si>
    <t>Baltimore</t>
  </si>
  <si>
    <t>MD</t>
  </si>
  <si>
    <t>E</t>
  </si>
  <si>
    <t>MI</t>
  </si>
  <si>
    <t>F</t>
  </si>
  <si>
    <t>MO</t>
  </si>
  <si>
    <t>G</t>
  </si>
  <si>
    <t>Non-Combustible</t>
  </si>
  <si>
    <t>H</t>
  </si>
  <si>
    <t>I</t>
  </si>
  <si>
    <t>Joisted Masonry</t>
  </si>
  <si>
    <t>J</t>
  </si>
  <si>
    <t>K</t>
  </si>
  <si>
    <t>L</t>
  </si>
  <si>
    <t>M</t>
  </si>
  <si>
    <t>Built-up/Single ply</t>
  </si>
  <si>
    <t>N</t>
  </si>
  <si>
    <t>NC</t>
  </si>
  <si>
    <t>O</t>
  </si>
  <si>
    <t>TX</t>
  </si>
  <si>
    <t>ACV</t>
  </si>
  <si>
    <t>P</t>
  </si>
  <si>
    <t>VA</t>
  </si>
  <si>
    <t>Q</t>
  </si>
  <si>
    <t>R</t>
  </si>
  <si>
    <t>S</t>
  </si>
  <si>
    <t>T</t>
  </si>
  <si>
    <t>NE</t>
  </si>
  <si>
    <t>U</t>
  </si>
  <si>
    <t>IL</t>
  </si>
  <si>
    <t>V</t>
  </si>
  <si>
    <t>W</t>
  </si>
  <si>
    <t>X</t>
  </si>
  <si>
    <t>AK</t>
  </si>
  <si>
    <t>AR</t>
  </si>
  <si>
    <t>AZ</t>
  </si>
  <si>
    <t>CA</t>
  </si>
  <si>
    <t>CO</t>
  </si>
  <si>
    <t>CT</t>
  </si>
  <si>
    <t>DC</t>
  </si>
  <si>
    <t>DE</t>
  </si>
  <si>
    <t>GA</t>
  </si>
  <si>
    <t>HI</t>
  </si>
  <si>
    <t>IA</t>
  </si>
  <si>
    <t>ID</t>
  </si>
  <si>
    <t>IN</t>
  </si>
  <si>
    <t>KS</t>
  </si>
  <si>
    <t>KY</t>
  </si>
  <si>
    <t>LA</t>
  </si>
  <si>
    <t>MA</t>
  </si>
  <si>
    <t>ME</t>
  </si>
  <si>
    <t>MN</t>
  </si>
  <si>
    <t>MS</t>
  </si>
  <si>
    <t>MT</t>
  </si>
  <si>
    <t>ND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</si>
  <si>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</si>
  <si>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</si>
  <si>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</si>
  <si>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</si>
  <si>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</si>
  <si>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</si>
  <si>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</si>
  <si>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</si>
  <si>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</si>
  <si>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</si>
  <si>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</si>
  <si>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</si>
  <si>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</si>
  <si>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UT</t>
  </si>
  <si>
    <t>VT</t>
  </si>
  <si>
    <t>WA</t>
  </si>
  <si>
    <t>WI</t>
  </si>
  <si>
    <t>WV</t>
  </si>
  <si>
    <t>WY</t>
  </si>
  <si>
    <t>1315 Lincoln Blvd</t>
  </si>
  <si>
    <t>Solace</t>
  </si>
  <si>
    <t>Santa Monica</t>
  </si>
  <si>
    <t>Professional, Technical and Business Services</t>
  </si>
  <si>
    <t>Tenant</t>
  </si>
  <si>
    <t>Terjoh Davway</t>
  </si>
  <si>
    <t>353-555-6542</t>
  </si>
  <si>
    <t>Good</t>
  </si>
  <si>
    <t>1900 Wright Place</t>
  </si>
  <si>
    <t>Vapor Beast</t>
  </si>
  <si>
    <t>Carlsbad</t>
  </si>
  <si>
    <t>Retail</t>
  </si>
  <si>
    <t>AE</t>
  </si>
  <si>
    <t>30 Old Kings Highway South</t>
  </si>
  <si>
    <t>NTC</t>
  </si>
  <si>
    <t xml:space="preserve">Darien </t>
  </si>
  <si>
    <t>Wholesale</t>
  </si>
  <si>
    <t>11920 SW 88th Street</t>
  </si>
  <si>
    <t>Vapor Shark</t>
  </si>
  <si>
    <t>Miami</t>
  </si>
  <si>
    <t>General Industrial</t>
  </si>
  <si>
    <t>Superior</t>
  </si>
  <si>
    <t>X500</t>
  </si>
  <si>
    <t>6611 S Dixie Hwy</t>
  </si>
  <si>
    <t>14300 Commerce Way</t>
  </si>
  <si>
    <t>IVG</t>
  </si>
  <si>
    <t>Miami Lakes</t>
  </si>
  <si>
    <t>Concreate Tilt-Up</t>
  </si>
  <si>
    <t>5335 W. 74th Street</t>
  </si>
  <si>
    <t>Indianapolis</t>
  </si>
  <si>
    <t>Entertainment</t>
  </si>
  <si>
    <t>Poor</t>
  </si>
  <si>
    <t>1065 Conestoga Pkwy</t>
  </si>
  <si>
    <t>Shepherdsville</t>
  </si>
  <si>
    <t>Owner</t>
  </si>
  <si>
    <t>1121 Industrial Drive</t>
  </si>
  <si>
    <t>Owensboro</t>
  </si>
  <si>
    <t>AH</t>
  </si>
  <si>
    <t>1439 Dixie Highway</t>
  </si>
  <si>
    <t>Louisville</t>
  </si>
  <si>
    <t>5201 Interchange Way</t>
  </si>
  <si>
    <t>1195 Trademark Drive</t>
  </si>
  <si>
    <t>Reno</t>
  </si>
  <si>
    <t>198 Liberty Street</t>
  </si>
  <si>
    <t>Lancaster</t>
  </si>
  <si>
    <t>2500 South Main Street</t>
  </si>
  <si>
    <t>Springfield</t>
  </si>
  <si>
    <t>310 Blythe Avenue</t>
  </si>
  <si>
    <t>Gallatin</t>
  </si>
  <si>
    <t xml:space="preserve">201 West North Street </t>
  </si>
  <si>
    <t>Dresden</t>
  </si>
  <si>
    <t>Food Manufacturing</t>
  </si>
  <si>
    <t>3846 Sharon Hwy</t>
  </si>
  <si>
    <t>3850 Sharon Hwy</t>
  </si>
  <si>
    <t>330 Rodgers Blvd.</t>
  </si>
  <si>
    <t>Honolulu</t>
  </si>
  <si>
    <t>1003-B Air Cargo Drive</t>
  </si>
  <si>
    <t>6255 Mcleod Drive</t>
  </si>
  <si>
    <t>Las Vegas</t>
  </si>
  <si>
    <t>3303 N Sheridan</t>
  </si>
  <si>
    <t>Tulsa</t>
  </si>
  <si>
    <t>Air</t>
  </si>
  <si>
    <t>3401 N. Sheridan Road</t>
  </si>
  <si>
    <t>Y</t>
  </si>
  <si>
    <t>Z</t>
  </si>
  <si>
    <t>3505 N. Sheridan Road</t>
  </si>
  <si>
    <t>AA</t>
  </si>
  <si>
    <t>2070 Eagle Pkwy</t>
  </si>
  <si>
    <t>Forth Worth</t>
  </si>
  <si>
    <t>AB</t>
  </si>
  <si>
    <t>4649 Diplomacy Road</t>
  </si>
  <si>
    <t>AC</t>
  </si>
  <si>
    <t>23901 Cargo Drive</t>
  </si>
  <si>
    <t>Dulles</t>
  </si>
  <si>
    <t>AD</t>
  </si>
  <si>
    <t>2580 S. 156th Street</t>
  </si>
  <si>
    <t>Seattle</t>
  </si>
  <si>
    <t>709-2nd Ave</t>
  </si>
  <si>
    <t>Service Center</t>
  </si>
  <si>
    <t>Opelika</t>
  </si>
  <si>
    <t>AF</t>
  </si>
  <si>
    <t>502-511 Rear S Cedar</t>
  </si>
  <si>
    <t>Demopolic Shopping Ctr</t>
  </si>
  <si>
    <t>Demopolis</t>
  </si>
  <si>
    <t>AG</t>
  </si>
  <si>
    <t>1408-A Hillcrest Rd</t>
  </si>
  <si>
    <t>Claims Office</t>
  </si>
  <si>
    <t>Mobile</t>
  </si>
  <si>
    <t>200 Payne Rd</t>
  </si>
  <si>
    <t>ABI Barn</t>
  </si>
  <si>
    <t>Montgomery</t>
  </si>
  <si>
    <t>AI</t>
  </si>
  <si>
    <t>API Barn</t>
  </si>
  <si>
    <t>AJ</t>
  </si>
  <si>
    <t>2108 E S Blvd</t>
  </si>
  <si>
    <t>AMI</t>
  </si>
  <si>
    <t>AMI RE</t>
  </si>
  <si>
    <t>Data Processing Center AMI RE</t>
  </si>
  <si>
    <t>AM</t>
  </si>
  <si>
    <t>Walkway</t>
  </si>
  <si>
    <t>AN</t>
  </si>
  <si>
    <t>Generator</t>
  </si>
  <si>
    <t>AO</t>
  </si>
  <si>
    <t>2120 E South Blvd</t>
  </si>
  <si>
    <t>Alfa Child Care Center</t>
  </si>
  <si>
    <t>AP</t>
  </si>
  <si>
    <t>2948-2994 Carter Hil Rd</t>
  </si>
  <si>
    <t>Westminister Shopping Ctr</t>
  </si>
  <si>
    <t>AQ</t>
  </si>
  <si>
    <t>3015 Carter Hill Rd</t>
  </si>
  <si>
    <t>Strip Mall</t>
  </si>
  <si>
    <t>4641 Hangar Road</t>
  </si>
  <si>
    <t>Airplane Hangar</t>
  </si>
  <si>
    <t>AS</t>
  </si>
  <si>
    <t>8460 Plantation Crossing</t>
  </si>
  <si>
    <t>Corporate Residence</t>
  </si>
  <si>
    <t>AT</t>
  </si>
  <si>
    <t>Sturbridge Place</t>
  </si>
  <si>
    <t>Sanitary Sewer Pump and comm. Equip.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</si>
</sst>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0000"/>
    <numFmt numFmtId="165" formatCode="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top" wrapText="1"/>
    </xf>
    <xf numFmtId="5" fontId="0" fillId="0" borderId="1" xfId="1" applyNumberFormat="1" applyFont="1" applyBorder="1" applyAlignment="1">
      <alignment horizontal="center"/>
    </xf>
    <xf numFmtId="5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center" vertical="center" wrapText="1"/>
    </xf>
    <xf numFmtId="44" fontId="7" fillId="0" borderId="1" xfId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mcglobal-my.sharepoint.com/personal/joanna_kitts-jensen_victorinsurance_com/Documents/Desktop/Joanna%20VIMM%20Reporting%20Test%20Cases.xlsx" TargetMode="External"/><Relationship Id="rId1" Type="http://schemas.openxmlformats.org/officeDocument/2006/relationships/externalLinkPath" Target="Joanna%20VIMM%20Reporting%20Test%20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heet1"/>
      <sheetName val="Reporting Info"/>
      <sheetName val="Contract Setup"/>
      <sheetName val="Policy Test Cases"/>
      <sheetName val="Sheet2"/>
      <sheetName val="SOV 1"/>
      <sheetName val="SOV 2"/>
      <sheetName val="SOV 3"/>
      <sheetName val="SOV 4"/>
    </sheetNames>
    <sheetDataSet>
      <sheetData sheetId="0"/>
      <sheetData sheetId="1"/>
      <sheetData sheetId="2"/>
      <sheetData sheetId="3"/>
      <sheetData sheetId="4">
        <row r="55">
          <cell r="G55">
            <v>387701255</v>
          </cell>
        </row>
        <row r="83">
          <cell r="G83">
            <v>32000</v>
          </cell>
        </row>
        <row r="84">
          <cell r="G84">
            <v>15000</v>
          </cell>
        </row>
        <row r="85">
          <cell r="G85">
            <v>0</v>
          </cell>
        </row>
        <row r="86">
          <cell r="G86">
            <v>76350</v>
          </cell>
        </row>
        <row r="87">
          <cell r="G87">
            <v>57500</v>
          </cell>
        </row>
        <row r="88">
          <cell r="G88">
            <v>165000</v>
          </cell>
        </row>
        <row r="89">
          <cell r="G89">
            <v>21895</v>
          </cell>
        </row>
      </sheetData>
      <sheetData sheetId="5"/>
      <sheetData sheetId="6"/>
      <sheetData sheetId="7"/>
      <sheetData sheetId="8">
        <row r="2">
          <cell r="K2">
            <v>0</v>
          </cell>
          <cell r="L2">
            <v>200000</v>
          </cell>
          <cell r="M2">
            <v>0</v>
          </cell>
        </row>
        <row r="3">
          <cell r="K3">
            <v>1</v>
          </cell>
          <cell r="L3">
            <v>0</v>
          </cell>
          <cell r="M3">
            <v>0</v>
          </cell>
        </row>
        <row r="4">
          <cell r="K4">
            <v>1</v>
          </cell>
          <cell r="L4">
            <v>0</v>
          </cell>
          <cell r="M4">
            <v>0</v>
          </cell>
        </row>
        <row r="5">
          <cell r="K5">
            <v>1</v>
          </cell>
          <cell r="L5">
            <v>0</v>
          </cell>
          <cell r="M5">
            <v>0</v>
          </cell>
        </row>
        <row r="6">
          <cell r="K6">
            <v>1</v>
          </cell>
          <cell r="L6">
            <v>0</v>
          </cell>
          <cell r="M6">
            <v>0</v>
          </cell>
        </row>
        <row r="7">
          <cell r="K7">
            <v>0</v>
          </cell>
          <cell r="L7">
            <v>410919</v>
          </cell>
          <cell r="M7">
            <v>0</v>
          </cell>
        </row>
        <row r="8">
          <cell r="K8">
            <v>0</v>
          </cell>
          <cell r="L8">
            <v>10100000</v>
          </cell>
          <cell r="M8">
            <v>0</v>
          </cell>
        </row>
        <row r="9">
          <cell r="K9">
            <v>8346012</v>
          </cell>
          <cell r="L9">
            <v>3991063</v>
          </cell>
          <cell r="M9">
            <v>0</v>
          </cell>
        </row>
        <row r="10">
          <cell r="K10">
            <v>12337965</v>
          </cell>
          <cell r="L10">
            <v>1400001</v>
          </cell>
          <cell r="M10">
            <v>34526000</v>
          </cell>
        </row>
        <row r="11">
          <cell r="K11">
            <v>0</v>
          </cell>
          <cell r="L11">
            <v>300000</v>
          </cell>
          <cell r="M11">
            <v>0</v>
          </cell>
        </row>
        <row r="12">
          <cell r="K12">
            <v>22392000</v>
          </cell>
          <cell r="L12">
            <v>36697000</v>
          </cell>
          <cell r="M12">
            <v>20000000</v>
          </cell>
        </row>
        <row r="13">
          <cell r="K13">
            <v>0</v>
          </cell>
          <cell r="L13">
            <v>1000000</v>
          </cell>
          <cell r="M13">
            <v>0</v>
          </cell>
        </row>
        <row r="14">
          <cell r="K14">
            <v>0</v>
          </cell>
          <cell r="L14">
            <v>1000000</v>
          </cell>
          <cell r="M14">
            <v>0</v>
          </cell>
        </row>
        <row r="15">
          <cell r="K15">
            <v>0</v>
          </cell>
          <cell r="L15">
            <v>27000000</v>
          </cell>
          <cell r="M15">
            <v>0</v>
          </cell>
        </row>
        <row r="16">
          <cell r="K16">
            <v>0</v>
          </cell>
          <cell r="L16">
            <v>1000000</v>
          </cell>
          <cell r="M16">
            <v>0</v>
          </cell>
        </row>
        <row r="17">
          <cell r="K17">
            <v>6030000</v>
          </cell>
          <cell r="L17">
            <v>7474690</v>
          </cell>
          <cell r="M17">
            <v>26000000</v>
          </cell>
        </row>
        <row r="18">
          <cell r="K18">
            <v>1500000</v>
          </cell>
          <cell r="L18">
            <v>2300000</v>
          </cell>
          <cell r="M18">
            <v>0</v>
          </cell>
        </row>
        <row r="19">
          <cell r="K19">
            <v>0</v>
          </cell>
          <cell r="L19">
            <v>5500000</v>
          </cell>
          <cell r="M19">
            <v>0</v>
          </cell>
        </row>
        <row r="20">
          <cell r="K20">
            <v>0</v>
          </cell>
          <cell r="L20">
            <v>75000</v>
          </cell>
          <cell r="M20">
            <v>0</v>
          </cell>
        </row>
        <row r="21">
          <cell r="K21">
            <v>0</v>
          </cell>
          <cell r="L21">
            <v>75000</v>
          </cell>
          <cell r="M21">
            <v>0</v>
          </cell>
        </row>
        <row r="22">
          <cell r="K22">
            <v>0</v>
          </cell>
          <cell r="L22">
            <v>100000</v>
          </cell>
          <cell r="M22">
            <v>0</v>
          </cell>
        </row>
        <row r="23">
          <cell r="K23">
            <v>5002148</v>
          </cell>
          <cell r="L23">
            <v>7000000</v>
          </cell>
          <cell r="M23">
            <v>1000000</v>
          </cell>
        </row>
        <row r="24">
          <cell r="K24">
            <v>1</v>
          </cell>
          <cell r="L24">
            <v>0</v>
          </cell>
          <cell r="M24">
            <v>0</v>
          </cell>
        </row>
        <row r="25">
          <cell r="K25">
            <v>1128410</v>
          </cell>
          <cell r="L25">
            <v>200000</v>
          </cell>
          <cell r="M25">
            <v>0</v>
          </cell>
        </row>
        <row r="26">
          <cell r="K26">
            <v>1</v>
          </cell>
          <cell r="L26">
            <v>0</v>
          </cell>
          <cell r="M26">
            <v>0</v>
          </cell>
        </row>
        <row r="27">
          <cell r="K27">
            <v>1625000</v>
          </cell>
          <cell r="L27">
            <v>1000000</v>
          </cell>
          <cell r="M27">
            <v>0</v>
          </cell>
        </row>
        <row r="28">
          <cell r="K28">
            <v>0</v>
          </cell>
          <cell r="L28">
            <v>750000</v>
          </cell>
          <cell r="M28">
            <v>0</v>
          </cell>
        </row>
        <row r="29">
          <cell r="K29">
            <v>0</v>
          </cell>
          <cell r="L29">
            <v>100000</v>
          </cell>
          <cell r="M29">
            <v>0</v>
          </cell>
        </row>
        <row r="30">
          <cell r="K30">
            <v>0</v>
          </cell>
          <cell r="L30">
            <v>75000</v>
          </cell>
          <cell r="M30">
            <v>0</v>
          </cell>
        </row>
        <row r="31">
          <cell r="K31">
            <v>0</v>
          </cell>
          <cell r="L31">
            <v>75000</v>
          </cell>
          <cell r="M31">
            <v>0</v>
          </cell>
        </row>
        <row r="32">
          <cell r="K32">
            <v>428274</v>
          </cell>
          <cell r="L32">
            <v>0</v>
          </cell>
          <cell r="M32">
            <v>0</v>
          </cell>
        </row>
        <row r="33">
          <cell r="K33">
            <v>1545000</v>
          </cell>
          <cell r="L33">
            <v>0</v>
          </cell>
          <cell r="M33">
            <v>100000</v>
          </cell>
        </row>
        <row r="34">
          <cell r="K34">
            <v>382388</v>
          </cell>
          <cell r="L34">
            <v>0</v>
          </cell>
          <cell r="M34">
            <v>0</v>
          </cell>
        </row>
        <row r="35">
          <cell r="K35">
            <v>23525</v>
          </cell>
          <cell r="L35">
            <v>0</v>
          </cell>
          <cell r="M35">
            <v>0</v>
          </cell>
        </row>
        <row r="36">
          <cell r="K36">
            <v>56650</v>
          </cell>
          <cell r="L36">
            <v>52500</v>
          </cell>
          <cell r="M36">
            <v>0</v>
          </cell>
        </row>
        <row r="37">
          <cell r="K37">
            <v>0</v>
          </cell>
          <cell r="L37">
            <v>24797089</v>
          </cell>
          <cell r="M37">
            <v>0</v>
          </cell>
        </row>
        <row r="38">
          <cell r="K38">
            <v>56650000</v>
          </cell>
          <cell r="L38">
            <v>0</v>
          </cell>
          <cell r="M38">
            <v>0</v>
          </cell>
        </row>
        <row r="39">
          <cell r="K39">
            <v>39881600</v>
          </cell>
          <cell r="L39">
            <v>0</v>
          </cell>
          <cell r="M39">
            <v>0</v>
          </cell>
        </row>
        <row r="40">
          <cell r="K40">
            <v>2832500</v>
          </cell>
          <cell r="L40">
            <v>0</v>
          </cell>
          <cell r="M40">
            <v>0</v>
          </cell>
        </row>
        <row r="41">
          <cell r="K41">
            <v>453200</v>
          </cell>
          <cell r="L41">
            <v>0</v>
          </cell>
          <cell r="M41">
            <v>0</v>
          </cell>
        </row>
        <row r="42">
          <cell r="K42">
            <v>2266000</v>
          </cell>
          <cell r="L42">
            <v>210000</v>
          </cell>
          <cell r="M42">
            <v>0</v>
          </cell>
        </row>
        <row r="43">
          <cell r="K43">
            <v>5948250</v>
          </cell>
          <cell r="L43">
            <v>0</v>
          </cell>
          <cell r="M43">
            <v>500000</v>
          </cell>
        </row>
        <row r="44">
          <cell r="K44">
            <v>402215</v>
          </cell>
          <cell r="L44">
            <v>0</v>
          </cell>
          <cell r="M44">
            <v>35000</v>
          </cell>
        </row>
        <row r="45">
          <cell r="K45">
            <v>2266000</v>
          </cell>
          <cell r="L45">
            <v>52500</v>
          </cell>
          <cell r="M45">
            <v>0</v>
          </cell>
        </row>
        <row r="46">
          <cell r="K46">
            <v>509850</v>
          </cell>
          <cell r="L46">
            <v>262500</v>
          </cell>
          <cell r="M46">
            <v>20000</v>
          </cell>
        </row>
        <row r="47">
          <cell r="K47">
            <v>0</v>
          </cell>
          <cell r="L47">
            <v>315000</v>
          </cell>
          <cell r="M47">
            <v>0</v>
          </cell>
        </row>
      </sheetData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3A9-9DCE-4DC8-A2BF-6941F61AC803}">
  <dimension ref="A1:AY47"/>
  <sheetViews>
    <sheetView tabSelected="1" topLeftCell="A12" workbookViewId="0">
      <selection activeCell="B48" sqref="B48"/>
    </sheetView>
  </sheetViews>
  <sheetFormatPr defaultColWidth="8.73046875" defaultRowHeight="14.25" x14ac:dyDescent="0.45"/>
  <cols>
    <col min="1" max="1" width="6" style="13" bestFit="1" customWidth="1"/>
    <col min="2" max="2" width="13.86328125" style="13" bestFit="1" customWidth="1"/>
    <col min="3" max="3" width="53.1328125" style="16" bestFit="1" customWidth="1"/>
    <col min="4" max="17" width="15.73046875" style="13" customWidth="1"/>
    <col min="18" max="18" width="24" style="13" customWidth="1"/>
    <col min="19" max="19" width="15.73046875" style="13" customWidth="1"/>
    <col min="20" max="20" width="25.59765625" style="13" customWidth="1"/>
    <col min="21" max="26" width="15.73046875" style="13" customWidth="1"/>
    <col min="27" max="27" width="17" style="13" customWidth="1"/>
    <col min="28" max="35" width="15.73046875" style="13" customWidth="1"/>
    <col min="36" max="36" width="20" style="13" customWidth="1"/>
    <col min="37" max="37" width="17.265625" style="13" customWidth="1"/>
    <col min="38" max="44" width="15.73046875" style="13" customWidth="1"/>
    <col min="45" max="45" width="24.86328125" style="13" customWidth="1"/>
    <col min="46" max="51" width="15.73046875" style="13" customWidth="1"/>
    <col min="52" max="16384" width="8.73046875" style="12"/>
  </cols>
  <sheetData>
    <row r="1" spans="1:51" ht="20.25" x14ac:dyDescent="0.4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1" t="s">
        <v>50</v>
      </c>
    </row>
    <row r="2" spans="1:51" x14ac:dyDescent="0.4">
      <c r="A2" s="13" t="s">
        <v>51</v>
      </c>
      <c r="B2" s="13">
        <v>1</v>
      </c>
      <c r="C2" s="22" t="s">
        <v>142</v>
      </c>
      <c r="D2" s="22" t="s">
        <v>143</v>
      </c>
      <c r="E2" s="22" t="s">
        <v>144</v>
      </c>
      <c r="F2" s="22" t="s">
        <v>104</v>
      </c>
      <c r="G2" s="23">
        <v>90401</v>
      </c>
      <c r="K2" s="22">
        <v>0</v>
      </c>
      <c r="L2" s="22">
        <v>200000</v>
      </c>
      <c r="M2" s="22">
        <v>0</v>
      </c>
      <c r="N2" s="24"/>
      <c r="O2" s="22"/>
      <c r="P2" s="22"/>
      <c r="Q2" s="22">
        <v>1</v>
      </c>
      <c r="R2" s="22" t="s">
        <v>54</v>
      </c>
      <c r="T2" s="22" t="s">
        <v>145</v>
      </c>
      <c r="U2" s="13" t="s">
        <v>146</v>
      </c>
      <c r="V2" s="13" t="s">
        <v>147</v>
      </c>
      <c r="W2" s="13" t="s">
        <v>148</v>
      </c>
      <c r="X2" s="13" t="s">
        <v>54</v>
      </c>
      <c r="Y2" s="13" t="s">
        <v>55</v>
      </c>
      <c r="Z2" s="13" t="s">
        <v>56</v>
      </c>
      <c r="AA2" s="13" t="s">
        <v>83</v>
      </c>
      <c r="AB2" s="13" t="s">
        <v>54</v>
      </c>
      <c r="AC2" s="13" t="s">
        <v>58</v>
      </c>
      <c r="AD2" s="25"/>
      <c r="AE2" s="13" t="s">
        <v>54</v>
      </c>
      <c r="AF2" s="25"/>
      <c r="AG2" s="13" t="s">
        <v>59</v>
      </c>
      <c r="AH2" s="13" t="s">
        <v>60</v>
      </c>
      <c r="AI2" s="13" t="s">
        <v>59</v>
      </c>
      <c r="AJ2" s="13" t="s">
        <v>54</v>
      </c>
      <c r="AK2" s="13" t="s">
        <v>54</v>
      </c>
      <c r="AL2" s="13" t="s">
        <v>149</v>
      </c>
      <c r="AN2" s="13">
        <v>5</v>
      </c>
      <c r="AS2" s="13" t="s">
        <v>100</v>
      </c>
      <c r="AT2" s="13" t="s">
        <v>61</v>
      </c>
      <c r="AU2" s="13" t="s">
        <v>62</v>
      </c>
      <c r="AV2" s="13" t="s">
        <v>63</v>
      </c>
      <c r="AW2" s="15">
        <f>SUM((('[1]Policy Test Cases'!$G$83+'[1]Policy Test Cases'!$G$84+'[1]Policy Test Cases'!$G$85+'[1]Policy Test Cases'!$G$86+'[1]Policy Test Cases'!$G$87+'[1]Policy Test Cases'!$G$89)/'[1]Policy Test Cases'!$G$55)*('[1]SOV 3'!K2+'[1]SOV 3'!L2+'[1]SOV 3'!M2))</f>
        <v>104.58826087627702</v>
      </c>
      <c r="AX2" s="15">
        <f>(('[1]Policy Test Cases'!$G$88/'[1]Policy Test Cases'!$G$55)*('[1]SOV 3'!K2+'[1]SOV 3'!L2+'[1]SOV 3'!M2))</f>
        <v>85.117083255250236</v>
      </c>
      <c r="AY2" s="15">
        <f>SUM(AW2:AX2)</f>
        <v>189.70534413152726</v>
      </c>
    </row>
    <row r="3" spans="1:51" x14ac:dyDescent="0.4">
      <c r="A3" s="13" t="s">
        <v>64</v>
      </c>
      <c r="B3" s="13">
        <v>2</v>
      </c>
      <c r="C3" s="22" t="s">
        <v>150</v>
      </c>
      <c r="D3" s="22" t="s">
        <v>151</v>
      </c>
      <c r="E3" s="22" t="s">
        <v>152</v>
      </c>
      <c r="F3" s="22" t="s">
        <v>104</v>
      </c>
      <c r="G3" s="23">
        <v>92008</v>
      </c>
      <c r="K3" s="22">
        <v>1</v>
      </c>
      <c r="L3" s="22">
        <v>0</v>
      </c>
      <c r="M3" s="22">
        <v>0</v>
      </c>
      <c r="N3" s="24">
        <v>36892</v>
      </c>
      <c r="O3" s="22">
        <v>1</v>
      </c>
      <c r="P3" s="22"/>
      <c r="Q3" s="22">
        <v>1</v>
      </c>
      <c r="R3" s="22" t="s">
        <v>75</v>
      </c>
      <c r="T3" s="22" t="s">
        <v>153</v>
      </c>
      <c r="U3" s="13" t="s">
        <v>146</v>
      </c>
      <c r="V3" s="13" t="s">
        <v>147</v>
      </c>
      <c r="W3" s="13" t="s">
        <v>148</v>
      </c>
      <c r="X3" s="13" t="s">
        <v>54</v>
      </c>
      <c r="Y3" s="13" t="s">
        <v>54</v>
      </c>
      <c r="Z3" s="13" t="s">
        <v>56</v>
      </c>
      <c r="AA3" s="13" t="s">
        <v>54</v>
      </c>
      <c r="AB3" s="13" t="s">
        <v>54</v>
      </c>
      <c r="AC3" s="13" t="s">
        <v>58</v>
      </c>
      <c r="AD3" s="25">
        <v>42005</v>
      </c>
      <c r="AE3" s="13" t="s">
        <v>54</v>
      </c>
      <c r="AF3" s="25"/>
      <c r="AG3" s="13" t="s">
        <v>59</v>
      </c>
      <c r="AH3" s="13" t="s">
        <v>60</v>
      </c>
      <c r="AI3" s="13" t="s">
        <v>59</v>
      </c>
      <c r="AJ3" s="13" t="s">
        <v>54</v>
      </c>
      <c r="AK3" s="13" t="s">
        <v>54</v>
      </c>
      <c r="AL3" s="13" t="s">
        <v>149</v>
      </c>
      <c r="AN3" s="13">
        <v>5</v>
      </c>
      <c r="AS3" s="13" t="s">
        <v>154</v>
      </c>
      <c r="AT3" s="13" t="s">
        <v>61</v>
      </c>
      <c r="AU3" s="13" t="s">
        <v>62</v>
      </c>
      <c r="AV3" s="13" t="s">
        <v>63</v>
      </c>
      <c r="AW3" s="15">
        <f>SUM((('[1]Policy Test Cases'!$G$83+'[1]Policy Test Cases'!$G$84+'[1]Policy Test Cases'!$G$85+'[1]Policy Test Cases'!$G$86+'[1]Policy Test Cases'!$G$87+'[1]Policy Test Cases'!$G$89)/'[1]Policy Test Cases'!$G$55)*('[1]SOV 3'!K3+'[1]SOV 3'!L3+'[1]SOV 3'!M3))</f>
        <v>5.2294130438138508E-4</v>
      </c>
      <c r="AX3" s="15">
        <f>(('[1]Policy Test Cases'!$G$88/'[1]Policy Test Cases'!$G$55)*('[1]SOV 3'!K3+'[1]SOV 3'!L3+'[1]SOV 3'!M3))</f>
        <v>4.2558541627625118E-4</v>
      </c>
      <c r="AY3" s="15">
        <f t="shared" ref="AY3:AY47" si="0">SUM(AW3:AX3)</f>
        <v>9.4852672065763631E-4</v>
      </c>
    </row>
    <row r="4" spans="1:51" x14ac:dyDescent="0.4">
      <c r="A4" s="13" t="s">
        <v>65</v>
      </c>
      <c r="B4" s="13">
        <v>3</v>
      </c>
      <c r="C4" s="22" t="s">
        <v>155</v>
      </c>
      <c r="D4" s="22" t="s">
        <v>156</v>
      </c>
      <c r="E4" s="22" t="s">
        <v>157</v>
      </c>
      <c r="F4" s="22" t="s">
        <v>106</v>
      </c>
      <c r="G4" s="23">
        <v>6820</v>
      </c>
      <c r="K4" s="22">
        <v>1</v>
      </c>
      <c r="L4" s="22">
        <v>0</v>
      </c>
      <c r="M4" s="22">
        <v>0</v>
      </c>
      <c r="N4" s="24">
        <v>29952</v>
      </c>
      <c r="O4" s="22">
        <v>3</v>
      </c>
      <c r="P4" s="22"/>
      <c r="Q4" s="22">
        <v>1</v>
      </c>
      <c r="R4" s="22" t="s">
        <v>75</v>
      </c>
      <c r="T4" s="22" t="s">
        <v>158</v>
      </c>
      <c r="U4" s="13" t="s">
        <v>146</v>
      </c>
      <c r="V4" s="13" t="s">
        <v>147</v>
      </c>
      <c r="W4" s="13" t="s">
        <v>148</v>
      </c>
      <c r="X4" s="13" t="s">
        <v>54</v>
      </c>
      <c r="Y4" s="13" t="s">
        <v>55</v>
      </c>
      <c r="Z4" s="13" t="s">
        <v>56</v>
      </c>
      <c r="AA4" s="13" t="s">
        <v>83</v>
      </c>
      <c r="AB4" s="13" t="s">
        <v>54</v>
      </c>
      <c r="AC4" s="13" t="s">
        <v>58</v>
      </c>
      <c r="AD4" s="25">
        <v>44197</v>
      </c>
      <c r="AE4" s="13" t="s">
        <v>54</v>
      </c>
      <c r="AF4" s="25"/>
      <c r="AG4" s="13" t="s">
        <v>59</v>
      </c>
      <c r="AH4" s="13" t="s">
        <v>60</v>
      </c>
      <c r="AI4" s="13" t="s">
        <v>59</v>
      </c>
      <c r="AJ4" s="13" t="s">
        <v>54</v>
      </c>
      <c r="AK4" s="13" t="s">
        <v>54</v>
      </c>
      <c r="AL4" s="13" t="s">
        <v>149</v>
      </c>
      <c r="AN4" s="13">
        <v>5</v>
      </c>
      <c r="AS4" s="13" t="s">
        <v>100</v>
      </c>
      <c r="AT4" s="13" t="s">
        <v>61</v>
      </c>
      <c r="AU4" s="13" t="s">
        <v>62</v>
      </c>
      <c r="AV4" s="13" t="s">
        <v>63</v>
      </c>
      <c r="AW4" s="15">
        <f>SUM((('[1]Policy Test Cases'!$G$83+'[1]Policy Test Cases'!$G$84+'[1]Policy Test Cases'!$G$85+'[1]Policy Test Cases'!$G$86+'[1]Policy Test Cases'!$G$87+'[1]Policy Test Cases'!$G$89)/'[1]Policy Test Cases'!$G$55)*('[1]SOV 3'!K4+'[1]SOV 3'!L4+'[1]SOV 3'!M4))</f>
        <v>5.2294130438138508E-4</v>
      </c>
      <c r="AX4" s="15">
        <f>(('[1]Policy Test Cases'!$G$88/'[1]Policy Test Cases'!$G$55)*('[1]SOV 3'!K4+'[1]SOV 3'!L4+'[1]SOV 3'!M4))</f>
        <v>4.2558541627625118E-4</v>
      </c>
      <c r="AY4" s="15">
        <f t="shared" si="0"/>
        <v>9.4852672065763631E-4</v>
      </c>
    </row>
    <row r="5" spans="1:51" x14ac:dyDescent="0.4">
      <c r="A5" s="13" t="s">
        <v>67</v>
      </c>
      <c r="B5" s="13">
        <v>4</v>
      </c>
      <c r="C5" s="22" t="s">
        <v>159</v>
      </c>
      <c r="D5" s="22" t="s">
        <v>160</v>
      </c>
      <c r="E5" s="22" t="s">
        <v>161</v>
      </c>
      <c r="F5" s="22" t="s">
        <v>66</v>
      </c>
      <c r="G5" s="23">
        <v>33186</v>
      </c>
      <c r="K5" s="22">
        <v>1</v>
      </c>
      <c r="L5" s="22">
        <v>0</v>
      </c>
      <c r="M5" s="22">
        <v>0</v>
      </c>
      <c r="N5" s="24">
        <v>32874</v>
      </c>
      <c r="O5" s="22">
        <v>1</v>
      </c>
      <c r="P5" s="22"/>
      <c r="Q5" s="22">
        <v>1</v>
      </c>
      <c r="R5" s="22" t="s">
        <v>75</v>
      </c>
      <c r="T5" s="22" t="s">
        <v>162</v>
      </c>
      <c r="U5" s="13" t="s">
        <v>146</v>
      </c>
      <c r="V5" s="13" t="s">
        <v>147</v>
      </c>
      <c r="W5" s="13" t="s">
        <v>148</v>
      </c>
      <c r="X5" s="13" t="s">
        <v>54</v>
      </c>
      <c r="Y5" s="13" t="s">
        <v>55</v>
      </c>
      <c r="Z5" s="13" t="s">
        <v>56</v>
      </c>
      <c r="AA5" s="13" t="s">
        <v>83</v>
      </c>
      <c r="AB5" s="13" t="s">
        <v>54</v>
      </c>
      <c r="AC5" s="13" t="s">
        <v>58</v>
      </c>
      <c r="AD5" s="25"/>
      <c r="AE5" s="13" t="s">
        <v>54</v>
      </c>
      <c r="AF5" s="25"/>
      <c r="AG5" s="13" t="s">
        <v>59</v>
      </c>
      <c r="AH5" s="13" t="s">
        <v>60</v>
      </c>
      <c r="AI5" s="13" t="s">
        <v>59</v>
      </c>
      <c r="AJ5" s="13" t="s">
        <v>54</v>
      </c>
      <c r="AK5" s="13" t="s">
        <v>54</v>
      </c>
      <c r="AL5" s="13" t="s">
        <v>163</v>
      </c>
      <c r="AN5" s="13">
        <v>4</v>
      </c>
      <c r="AS5" s="13" t="s">
        <v>164</v>
      </c>
      <c r="AT5" s="13" t="s">
        <v>61</v>
      </c>
      <c r="AU5" s="13" t="s">
        <v>62</v>
      </c>
      <c r="AV5" s="13" t="s">
        <v>63</v>
      </c>
      <c r="AW5" s="15">
        <f>SUM((('[1]Policy Test Cases'!$G$83+'[1]Policy Test Cases'!$G$84+'[1]Policy Test Cases'!$G$85+'[1]Policy Test Cases'!$G$86+'[1]Policy Test Cases'!$G$87+'[1]Policy Test Cases'!$G$89)/'[1]Policy Test Cases'!$G$55)*('[1]SOV 3'!K5+'[1]SOV 3'!L5+'[1]SOV 3'!M5))</f>
        <v>5.2294130438138508E-4</v>
      </c>
      <c r="AX5" s="15">
        <f>(('[1]Policy Test Cases'!$G$88/'[1]Policy Test Cases'!$G$55)*('[1]SOV 3'!K5+'[1]SOV 3'!L5+'[1]SOV 3'!M5))</f>
        <v>4.2558541627625118E-4</v>
      </c>
      <c r="AY5" s="15">
        <f t="shared" si="0"/>
        <v>9.4852672065763631E-4</v>
      </c>
    </row>
    <row r="6" spans="1:51" x14ac:dyDescent="0.4">
      <c r="A6" s="13" t="s">
        <v>70</v>
      </c>
      <c r="B6" s="13">
        <v>5</v>
      </c>
      <c r="C6" s="22" t="s">
        <v>165</v>
      </c>
      <c r="D6" s="22" t="s">
        <v>160</v>
      </c>
      <c r="E6" s="22" t="s">
        <v>161</v>
      </c>
      <c r="F6" s="22" t="s">
        <v>66</v>
      </c>
      <c r="G6" s="23">
        <v>33156</v>
      </c>
      <c r="K6" s="22">
        <v>1</v>
      </c>
      <c r="L6" s="22">
        <v>0</v>
      </c>
      <c r="M6" s="22">
        <v>0</v>
      </c>
      <c r="N6" s="24">
        <v>29221</v>
      </c>
      <c r="O6" s="22">
        <v>2</v>
      </c>
      <c r="P6" s="22"/>
      <c r="Q6" s="22">
        <v>1</v>
      </c>
      <c r="R6" s="22" t="s">
        <v>75</v>
      </c>
      <c r="T6" s="22" t="s">
        <v>153</v>
      </c>
      <c r="U6" s="13" t="s">
        <v>146</v>
      </c>
      <c r="V6" s="13" t="s">
        <v>147</v>
      </c>
      <c r="W6" s="13" t="s">
        <v>148</v>
      </c>
      <c r="X6" s="13" t="s">
        <v>54</v>
      </c>
      <c r="Y6" s="13" t="s">
        <v>55</v>
      </c>
      <c r="Z6" s="13" t="s">
        <v>56</v>
      </c>
      <c r="AA6" s="13" t="s">
        <v>83</v>
      </c>
      <c r="AB6" s="13" t="s">
        <v>54</v>
      </c>
      <c r="AC6" s="13" t="s">
        <v>58</v>
      </c>
      <c r="AD6" s="25"/>
      <c r="AE6" s="13" t="s">
        <v>54</v>
      </c>
      <c r="AF6" s="25"/>
      <c r="AG6" s="13" t="s">
        <v>59</v>
      </c>
      <c r="AH6" s="13" t="s">
        <v>60</v>
      </c>
      <c r="AI6" s="13" t="s">
        <v>59</v>
      </c>
      <c r="AJ6" s="13" t="s">
        <v>54</v>
      </c>
      <c r="AK6" s="13" t="s">
        <v>54</v>
      </c>
      <c r="AL6" s="13" t="s">
        <v>149</v>
      </c>
      <c r="AN6" s="13">
        <v>6</v>
      </c>
      <c r="AS6" s="13" t="s">
        <v>164</v>
      </c>
      <c r="AT6" s="13" t="s">
        <v>61</v>
      </c>
      <c r="AU6" s="13" t="s">
        <v>62</v>
      </c>
      <c r="AV6" s="13" t="s">
        <v>63</v>
      </c>
      <c r="AW6" s="15">
        <f>SUM((('[1]Policy Test Cases'!$G$83+'[1]Policy Test Cases'!$G$84+'[1]Policy Test Cases'!$G$85+'[1]Policy Test Cases'!$G$86+'[1]Policy Test Cases'!$G$87+'[1]Policy Test Cases'!$G$89)/'[1]Policy Test Cases'!$G$55)*('[1]SOV 3'!K6+'[1]SOV 3'!L6+'[1]SOV 3'!M6))</f>
        <v>5.2294130438138508E-4</v>
      </c>
      <c r="AX6" s="15">
        <f>(('[1]Policy Test Cases'!$G$88/'[1]Policy Test Cases'!$G$55)*('[1]SOV 3'!K6+'[1]SOV 3'!L6+'[1]SOV 3'!M6))</f>
        <v>4.2558541627625118E-4</v>
      </c>
      <c r="AY6" s="15">
        <f t="shared" si="0"/>
        <v>9.4852672065763631E-4</v>
      </c>
    </row>
    <row r="7" spans="1:51" x14ac:dyDescent="0.4">
      <c r="A7" s="13" t="s">
        <v>72</v>
      </c>
      <c r="B7" s="13">
        <v>6</v>
      </c>
      <c r="C7" s="22" t="s">
        <v>166</v>
      </c>
      <c r="D7" s="22" t="s">
        <v>167</v>
      </c>
      <c r="E7" s="22" t="s">
        <v>168</v>
      </c>
      <c r="F7" s="22" t="s">
        <v>66</v>
      </c>
      <c r="G7" s="23">
        <v>33016</v>
      </c>
      <c r="K7" s="22">
        <v>0</v>
      </c>
      <c r="L7" s="22">
        <v>410919</v>
      </c>
      <c r="M7" s="22">
        <v>0</v>
      </c>
      <c r="N7" s="24">
        <v>39083</v>
      </c>
      <c r="O7" s="22">
        <v>1</v>
      </c>
      <c r="P7" s="22"/>
      <c r="Q7" s="22">
        <v>1</v>
      </c>
      <c r="R7" s="22" t="s">
        <v>169</v>
      </c>
      <c r="T7" s="22" t="s">
        <v>145</v>
      </c>
      <c r="U7" s="13" t="s">
        <v>146</v>
      </c>
      <c r="V7" s="13" t="s">
        <v>147</v>
      </c>
      <c r="W7" s="13" t="s">
        <v>148</v>
      </c>
      <c r="X7" s="13" t="s">
        <v>54</v>
      </c>
      <c r="Y7" s="13" t="s">
        <v>55</v>
      </c>
      <c r="Z7" s="13" t="s">
        <v>56</v>
      </c>
      <c r="AA7" s="13" t="s">
        <v>83</v>
      </c>
      <c r="AB7" s="13" t="s">
        <v>54</v>
      </c>
      <c r="AC7" s="13" t="s">
        <v>58</v>
      </c>
      <c r="AD7" s="25"/>
      <c r="AE7" s="13" t="s">
        <v>54</v>
      </c>
      <c r="AF7" s="25"/>
      <c r="AG7" s="13" t="s">
        <v>59</v>
      </c>
      <c r="AH7" s="13" t="s">
        <v>60</v>
      </c>
      <c r="AI7" s="13" t="s">
        <v>59</v>
      </c>
      <c r="AJ7" s="13" t="s">
        <v>54</v>
      </c>
      <c r="AK7" s="13" t="s">
        <v>54</v>
      </c>
      <c r="AL7" s="13" t="s">
        <v>163</v>
      </c>
      <c r="AN7" s="13">
        <v>1</v>
      </c>
      <c r="AS7" s="13" t="s">
        <v>100</v>
      </c>
      <c r="AT7" s="13" t="s">
        <v>61</v>
      </c>
      <c r="AU7" s="13" t="s">
        <v>62</v>
      </c>
      <c r="AV7" s="13" t="s">
        <v>63</v>
      </c>
      <c r="AW7" s="15">
        <f>SUM((('[1]Policy Test Cases'!$G$83+'[1]Policy Test Cases'!$G$84+'[1]Policy Test Cases'!$G$85+'[1]Policy Test Cases'!$G$86+'[1]Policy Test Cases'!$G$87+'[1]Policy Test Cases'!$G$89)/'[1]Policy Test Cases'!$G$55)*('[1]SOV 3'!K7+'[1]SOV 3'!L7+'[1]SOV 3'!M7))</f>
        <v>214.88651785509438</v>
      </c>
      <c r="AX7" s="15">
        <f>(('[1]Policy Test Cases'!$G$88/'[1]Policy Test Cases'!$G$55)*('[1]SOV 3'!K7+'[1]SOV 3'!L7+'[1]SOV 3'!M7))</f>
        <v>174.88113367082084</v>
      </c>
      <c r="AY7" s="15">
        <f t="shared" si="0"/>
        <v>389.7676515259152</v>
      </c>
    </row>
    <row r="8" spans="1:51" x14ac:dyDescent="0.4">
      <c r="A8" s="13" t="s">
        <v>74</v>
      </c>
      <c r="B8" s="13">
        <v>7</v>
      </c>
      <c r="C8" s="22" t="s">
        <v>170</v>
      </c>
      <c r="D8" s="22" t="s">
        <v>156</v>
      </c>
      <c r="E8" s="22" t="s">
        <v>171</v>
      </c>
      <c r="F8" s="22" t="s">
        <v>113</v>
      </c>
      <c r="G8" s="23">
        <v>46268</v>
      </c>
      <c r="K8" s="22">
        <v>0</v>
      </c>
      <c r="L8" s="22">
        <v>10100000</v>
      </c>
      <c r="M8" s="22">
        <v>0</v>
      </c>
      <c r="N8" s="24">
        <v>36526</v>
      </c>
      <c r="O8" s="22">
        <v>2</v>
      </c>
      <c r="P8" s="22"/>
      <c r="Q8" s="22">
        <v>1</v>
      </c>
      <c r="R8" s="22" t="s">
        <v>75</v>
      </c>
      <c r="T8" s="22" t="s">
        <v>172</v>
      </c>
      <c r="U8" s="13" t="s">
        <v>146</v>
      </c>
      <c r="V8" s="13" t="s">
        <v>147</v>
      </c>
      <c r="W8" s="13" t="s">
        <v>148</v>
      </c>
      <c r="X8" s="13" t="s">
        <v>54</v>
      </c>
      <c r="Y8" s="13" t="s">
        <v>55</v>
      </c>
      <c r="Z8" s="13" t="s">
        <v>56</v>
      </c>
      <c r="AA8" s="13" t="s">
        <v>83</v>
      </c>
      <c r="AB8" s="13" t="s">
        <v>54</v>
      </c>
      <c r="AC8" s="13" t="s">
        <v>58</v>
      </c>
      <c r="AD8" s="25"/>
      <c r="AE8" s="13" t="s">
        <v>54</v>
      </c>
      <c r="AF8" s="25"/>
      <c r="AG8" s="13" t="s">
        <v>59</v>
      </c>
      <c r="AH8" s="13" t="s">
        <v>60</v>
      </c>
      <c r="AI8" s="13" t="s">
        <v>59</v>
      </c>
      <c r="AJ8" s="13" t="s">
        <v>54</v>
      </c>
      <c r="AK8" s="13" t="s">
        <v>54</v>
      </c>
      <c r="AL8" s="13" t="s">
        <v>173</v>
      </c>
      <c r="AN8" s="13">
        <v>2</v>
      </c>
      <c r="AS8" s="13" t="s">
        <v>100</v>
      </c>
      <c r="AT8" s="13" t="s">
        <v>61</v>
      </c>
      <c r="AU8" s="13" t="s">
        <v>62</v>
      </c>
      <c r="AV8" s="13" t="s">
        <v>63</v>
      </c>
      <c r="AW8" s="15">
        <f>SUM((('[1]Policy Test Cases'!$G$83+'[1]Policy Test Cases'!$G$84+'[1]Policy Test Cases'!$G$85+'[1]Policy Test Cases'!$G$86+'[1]Policy Test Cases'!$G$87+'[1]Policy Test Cases'!$G$89)/'[1]Policy Test Cases'!$G$55)*('[1]SOV 3'!K8+'[1]SOV 3'!L8+'[1]SOV 3'!M8))</f>
        <v>5281.7071742519893</v>
      </c>
      <c r="AX8" s="15">
        <f>(('[1]Policy Test Cases'!$G$88/'[1]Policy Test Cases'!$G$55)*('[1]SOV 3'!K8+'[1]SOV 3'!L8+'[1]SOV 3'!M8))</f>
        <v>4298.4127043901372</v>
      </c>
      <c r="AY8" s="15">
        <f t="shared" si="0"/>
        <v>9580.1198786421264</v>
      </c>
    </row>
    <row r="9" spans="1:51" x14ac:dyDescent="0.4">
      <c r="A9" s="13" t="s">
        <v>76</v>
      </c>
      <c r="B9" s="13">
        <v>8</v>
      </c>
      <c r="C9" s="22" t="s">
        <v>174</v>
      </c>
      <c r="D9" s="22" t="s">
        <v>156</v>
      </c>
      <c r="E9" s="22" t="s">
        <v>175</v>
      </c>
      <c r="F9" s="22" t="s">
        <v>115</v>
      </c>
      <c r="G9" s="23">
        <v>40165</v>
      </c>
      <c r="K9" s="22">
        <v>8346012</v>
      </c>
      <c r="L9" s="22">
        <v>3991063</v>
      </c>
      <c r="M9" s="22">
        <v>0</v>
      </c>
      <c r="N9" s="24"/>
      <c r="O9" s="22">
        <v>1</v>
      </c>
      <c r="P9" s="22"/>
      <c r="Q9" s="22">
        <v>1</v>
      </c>
      <c r="R9" s="22" t="s">
        <v>169</v>
      </c>
      <c r="T9" s="22" t="s">
        <v>158</v>
      </c>
      <c r="U9" s="13" t="s">
        <v>176</v>
      </c>
      <c r="V9" s="13" t="s">
        <v>147</v>
      </c>
      <c r="W9" s="13" t="s">
        <v>148</v>
      </c>
      <c r="X9" s="13" t="s">
        <v>54</v>
      </c>
      <c r="Y9" s="13" t="s">
        <v>55</v>
      </c>
      <c r="Z9" s="13" t="s">
        <v>56</v>
      </c>
      <c r="AA9" s="13" t="s">
        <v>83</v>
      </c>
      <c r="AB9" s="13" t="s">
        <v>54</v>
      </c>
      <c r="AC9" s="13" t="s">
        <v>88</v>
      </c>
      <c r="AD9" s="25"/>
      <c r="AE9" s="13" t="s">
        <v>54</v>
      </c>
      <c r="AF9" s="25"/>
      <c r="AG9" s="13" t="s">
        <v>59</v>
      </c>
      <c r="AH9" s="13" t="s">
        <v>60</v>
      </c>
      <c r="AI9" s="13" t="s">
        <v>59</v>
      </c>
      <c r="AJ9" s="13" t="s">
        <v>54</v>
      </c>
      <c r="AK9" s="13" t="s">
        <v>54</v>
      </c>
      <c r="AL9" s="13" t="s">
        <v>149</v>
      </c>
      <c r="AN9" s="13">
        <v>4</v>
      </c>
      <c r="AS9" s="13" t="s">
        <v>164</v>
      </c>
      <c r="AT9" s="13" t="s">
        <v>61</v>
      </c>
      <c r="AU9" s="13" t="s">
        <v>62</v>
      </c>
      <c r="AV9" s="13" t="s">
        <v>63</v>
      </c>
      <c r="AW9" s="15">
        <f>SUM((('[1]Policy Test Cases'!$G$83+'[1]Policy Test Cases'!$G$84+'[1]Policy Test Cases'!$G$85+'[1]Policy Test Cases'!$G$86+'[1]Policy Test Cases'!$G$87+'[1]Policy Test Cases'!$G$89)/'[1]Policy Test Cases'!$G$55)*('[1]SOV 3'!K9+'[1]SOV 3'!L9+'[1]SOV 3'!M9))</f>
        <v>6451.5660927509762</v>
      </c>
      <c r="AX9" s="15">
        <f>(('[1]Policy Test Cases'!$G$88/'[1]Policy Test Cases'!$G$55)*('[1]SOV 3'!K9+'[1]SOV 3'!L9+'[1]SOV 3'!M9))</f>
        <v>5250.4791995063315</v>
      </c>
      <c r="AY9" s="15">
        <f t="shared" si="0"/>
        <v>11702.045292257308</v>
      </c>
    </row>
    <row r="10" spans="1:51" x14ac:dyDescent="0.4">
      <c r="A10" s="13" t="s">
        <v>77</v>
      </c>
      <c r="B10" s="13">
        <v>9</v>
      </c>
      <c r="C10" s="22" t="s">
        <v>177</v>
      </c>
      <c r="D10" s="22" t="s">
        <v>156</v>
      </c>
      <c r="E10" s="22" t="s">
        <v>178</v>
      </c>
      <c r="F10" s="22" t="s">
        <v>115</v>
      </c>
      <c r="G10" s="23">
        <v>42301</v>
      </c>
      <c r="K10" s="22">
        <v>12337965</v>
      </c>
      <c r="L10" s="22">
        <v>1400001</v>
      </c>
      <c r="M10" s="22">
        <v>34526000</v>
      </c>
      <c r="N10" s="24">
        <v>26299</v>
      </c>
      <c r="O10" s="22">
        <v>1</v>
      </c>
      <c r="P10" s="22"/>
      <c r="Q10" s="22">
        <v>1</v>
      </c>
      <c r="R10" s="22" t="s">
        <v>75</v>
      </c>
      <c r="T10" s="22" t="s">
        <v>158</v>
      </c>
      <c r="U10" s="13" t="s">
        <v>176</v>
      </c>
      <c r="V10" s="13" t="s">
        <v>147</v>
      </c>
      <c r="W10" s="13" t="s">
        <v>148</v>
      </c>
      <c r="X10" s="13" t="s">
        <v>54</v>
      </c>
      <c r="Y10" s="13" t="s">
        <v>55</v>
      </c>
      <c r="Z10" s="13" t="s">
        <v>56</v>
      </c>
      <c r="AA10" s="13" t="s">
        <v>83</v>
      </c>
      <c r="AB10" s="13" t="s">
        <v>54</v>
      </c>
      <c r="AC10" s="13" t="s">
        <v>88</v>
      </c>
      <c r="AD10" s="25">
        <v>44562</v>
      </c>
      <c r="AE10" s="13" t="s">
        <v>54</v>
      </c>
      <c r="AF10" s="25"/>
      <c r="AG10" s="13" t="s">
        <v>59</v>
      </c>
      <c r="AH10" s="13" t="s">
        <v>60</v>
      </c>
      <c r="AI10" s="13" t="s">
        <v>59</v>
      </c>
      <c r="AJ10" s="13" t="s">
        <v>54</v>
      </c>
      <c r="AK10" s="13" t="s">
        <v>54</v>
      </c>
      <c r="AL10" s="13" t="s">
        <v>149</v>
      </c>
      <c r="AN10" s="13">
        <v>6</v>
      </c>
      <c r="AS10" s="13" t="s">
        <v>179</v>
      </c>
      <c r="AT10" s="13" t="s">
        <v>61</v>
      </c>
      <c r="AU10" s="13" t="s">
        <v>62</v>
      </c>
      <c r="AV10" s="13" t="s">
        <v>63</v>
      </c>
      <c r="AW10" s="15">
        <f>SUM((('[1]Policy Test Cases'!$G$83+'[1]Policy Test Cases'!$G$84+'[1]Policy Test Cases'!$G$85+'[1]Policy Test Cases'!$G$86+'[1]Policy Test Cases'!$G$87+'[1]Policy Test Cases'!$G$89)/'[1]Policy Test Cases'!$G$55)*('[1]SOV 3'!K10+'[1]SOV 3'!L10+'[1]SOV 3'!M10))</f>
        <v>25239.221334658821</v>
      </c>
      <c r="AX10" s="15">
        <f>(('[1]Policy Test Cases'!$G$88/'[1]Policy Test Cases'!$G$55)*('[1]SOV 3'!K10+'[1]SOV 3'!L10+'[1]SOV 3'!M10))</f>
        <v>20540.440061252833</v>
      </c>
      <c r="AY10" s="15">
        <f t="shared" si="0"/>
        <v>45779.661395911651</v>
      </c>
    </row>
    <row r="11" spans="1:51" x14ac:dyDescent="0.4">
      <c r="A11" s="13" t="s">
        <v>79</v>
      </c>
      <c r="B11" s="13">
        <v>10</v>
      </c>
      <c r="C11" s="22" t="s">
        <v>180</v>
      </c>
      <c r="D11" s="22" t="s">
        <v>156</v>
      </c>
      <c r="E11" s="22" t="s">
        <v>181</v>
      </c>
      <c r="F11" s="22" t="s">
        <v>115</v>
      </c>
      <c r="G11" s="23">
        <v>40210</v>
      </c>
      <c r="K11" s="22">
        <v>0</v>
      </c>
      <c r="L11" s="22">
        <v>300000</v>
      </c>
      <c r="M11" s="22">
        <v>0</v>
      </c>
      <c r="N11" s="24"/>
      <c r="O11" s="22">
        <v>1</v>
      </c>
      <c r="P11" s="22"/>
      <c r="Q11" s="22">
        <v>1</v>
      </c>
      <c r="R11" s="22" t="s">
        <v>54</v>
      </c>
      <c r="T11" s="22" t="s">
        <v>162</v>
      </c>
      <c r="U11" s="13" t="s">
        <v>146</v>
      </c>
      <c r="V11" s="13" t="s">
        <v>147</v>
      </c>
      <c r="W11" s="13" t="s">
        <v>148</v>
      </c>
      <c r="X11" s="13" t="s">
        <v>54</v>
      </c>
      <c r="Y11" s="13" t="s">
        <v>55</v>
      </c>
      <c r="Z11" s="13" t="s">
        <v>56</v>
      </c>
      <c r="AA11" s="13" t="s">
        <v>83</v>
      </c>
      <c r="AB11" s="13" t="s">
        <v>54</v>
      </c>
      <c r="AC11" s="13" t="s">
        <v>58</v>
      </c>
      <c r="AD11" s="25"/>
      <c r="AE11" s="13" t="s">
        <v>54</v>
      </c>
      <c r="AF11" s="25"/>
      <c r="AG11" s="13" t="s">
        <v>59</v>
      </c>
      <c r="AH11" s="13" t="s">
        <v>60</v>
      </c>
      <c r="AI11" s="13" t="s">
        <v>59</v>
      </c>
      <c r="AJ11" s="13" t="s">
        <v>54</v>
      </c>
      <c r="AK11" s="13" t="s">
        <v>54</v>
      </c>
      <c r="AL11" s="13" t="s">
        <v>173</v>
      </c>
      <c r="AN11" s="13">
        <v>3</v>
      </c>
      <c r="AS11" s="13" t="s">
        <v>100</v>
      </c>
      <c r="AT11" s="13" t="s">
        <v>61</v>
      </c>
      <c r="AU11" s="13" t="s">
        <v>62</v>
      </c>
      <c r="AV11" s="13" t="s">
        <v>63</v>
      </c>
      <c r="AW11" s="15">
        <f>SUM((('[1]Policy Test Cases'!$G$83+'[1]Policy Test Cases'!$G$84+'[1]Policy Test Cases'!$G$85+'[1]Policy Test Cases'!$G$86+'[1]Policy Test Cases'!$G$87+'[1]Policy Test Cases'!$G$89)/'[1]Policy Test Cases'!$G$55)*('[1]SOV 3'!K11+'[1]SOV 3'!L11+'[1]SOV 3'!M11))</f>
        <v>156.88239131441551</v>
      </c>
      <c r="AX11" s="15">
        <f>(('[1]Policy Test Cases'!$G$88/'[1]Policy Test Cases'!$G$55)*('[1]SOV 3'!K11+'[1]SOV 3'!L11+'[1]SOV 3'!M11))</f>
        <v>127.67562488287535</v>
      </c>
      <c r="AY11" s="15">
        <f t="shared" si="0"/>
        <v>284.55801619729084</v>
      </c>
    </row>
    <row r="12" spans="1:51" x14ac:dyDescent="0.4">
      <c r="A12" s="13" t="s">
        <v>80</v>
      </c>
      <c r="B12" s="13">
        <v>11</v>
      </c>
      <c r="C12" s="22" t="s">
        <v>182</v>
      </c>
      <c r="D12" s="22" t="s">
        <v>156</v>
      </c>
      <c r="E12" s="22" t="s">
        <v>181</v>
      </c>
      <c r="F12" s="22" t="s">
        <v>115</v>
      </c>
      <c r="G12" s="23">
        <v>40229</v>
      </c>
      <c r="K12" s="22">
        <v>22392000</v>
      </c>
      <c r="L12" s="22">
        <v>36697000</v>
      </c>
      <c r="M12" s="22">
        <v>20000000</v>
      </c>
      <c r="N12" s="24">
        <v>41640</v>
      </c>
      <c r="O12" s="22">
        <v>1</v>
      </c>
      <c r="P12" s="22"/>
      <c r="Q12" s="22">
        <v>1</v>
      </c>
      <c r="R12" s="22" t="s">
        <v>169</v>
      </c>
      <c r="T12" s="22" t="s">
        <v>162</v>
      </c>
      <c r="U12" s="13" t="s">
        <v>176</v>
      </c>
      <c r="V12" s="13" t="s">
        <v>147</v>
      </c>
      <c r="W12" s="13" t="s">
        <v>148</v>
      </c>
      <c r="X12" s="13" t="s">
        <v>54</v>
      </c>
      <c r="Y12" s="13" t="s">
        <v>55</v>
      </c>
      <c r="Z12" s="13" t="s">
        <v>56</v>
      </c>
      <c r="AA12" s="13" t="s">
        <v>83</v>
      </c>
      <c r="AB12" s="13" t="s">
        <v>54</v>
      </c>
      <c r="AC12" s="13" t="s">
        <v>88</v>
      </c>
      <c r="AD12" s="25"/>
      <c r="AE12" s="13" t="s">
        <v>54</v>
      </c>
      <c r="AF12" s="25"/>
      <c r="AG12" s="13" t="s">
        <v>59</v>
      </c>
      <c r="AH12" s="13" t="s">
        <v>60</v>
      </c>
      <c r="AI12" s="13" t="s">
        <v>59</v>
      </c>
      <c r="AJ12" s="13" t="s">
        <v>54</v>
      </c>
      <c r="AK12" s="13" t="s">
        <v>54</v>
      </c>
      <c r="AL12" s="13" t="s">
        <v>163</v>
      </c>
      <c r="AN12" s="13">
        <v>1</v>
      </c>
      <c r="AS12" s="13" t="s">
        <v>100</v>
      </c>
      <c r="AT12" s="13" t="s">
        <v>61</v>
      </c>
      <c r="AU12" s="13" t="s">
        <v>62</v>
      </c>
      <c r="AV12" s="13" t="s">
        <v>63</v>
      </c>
      <c r="AW12" s="15">
        <f>SUM((('[1]Policy Test Cases'!$G$83+'[1]Policy Test Cases'!$G$84+'[1]Policy Test Cases'!$G$85+'[1]Policy Test Cases'!$G$86+'[1]Policy Test Cases'!$G$87+'[1]Policy Test Cases'!$G$89)/'[1]Policy Test Cases'!$G$55)*('[1]SOV 3'!K12+'[1]SOV 3'!L12+'[1]SOV 3'!M12))</f>
        <v>41358.904822219367</v>
      </c>
      <c r="AX12" s="15">
        <f>(('[1]Policy Test Cases'!$G$88/'[1]Policy Test Cases'!$G$55)*('[1]SOV 3'!K12+'[1]SOV 3'!L12+'[1]SOV 3'!M12))</f>
        <v>33659.124987872427</v>
      </c>
      <c r="AY12" s="15">
        <f t="shared" si="0"/>
        <v>75018.029810091801</v>
      </c>
    </row>
    <row r="13" spans="1:51" x14ac:dyDescent="0.4">
      <c r="A13" s="13" t="s">
        <v>81</v>
      </c>
      <c r="B13" s="13">
        <v>12</v>
      </c>
      <c r="C13" s="22" t="s">
        <v>183</v>
      </c>
      <c r="D13" s="22" t="s">
        <v>156</v>
      </c>
      <c r="E13" s="22" t="s">
        <v>184</v>
      </c>
      <c r="F13" s="22" t="s">
        <v>126</v>
      </c>
      <c r="G13" s="23">
        <v>89521</v>
      </c>
      <c r="K13" s="22">
        <v>0</v>
      </c>
      <c r="L13" s="22">
        <v>1000000</v>
      </c>
      <c r="M13" s="22">
        <v>0</v>
      </c>
      <c r="N13" s="24">
        <v>37987</v>
      </c>
      <c r="O13" s="22">
        <v>1</v>
      </c>
      <c r="P13" s="22"/>
      <c r="Q13" s="22">
        <v>1</v>
      </c>
      <c r="R13" s="22" t="s">
        <v>75</v>
      </c>
      <c r="T13" s="22" t="s">
        <v>158</v>
      </c>
      <c r="U13" s="13" t="s">
        <v>146</v>
      </c>
      <c r="V13" s="13" t="s">
        <v>147</v>
      </c>
      <c r="W13" s="13" t="s">
        <v>148</v>
      </c>
      <c r="X13" s="13" t="s">
        <v>54</v>
      </c>
      <c r="Y13" s="13" t="s">
        <v>55</v>
      </c>
      <c r="Z13" s="13" t="s">
        <v>56</v>
      </c>
      <c r="AA13" s="13" t="s">
        <v>83</v>
      </c>
      <c r="AB13" s="13" t="s">
        <v>54</v>
      </c>
      <c r="AC13" s="13" t="s">
        <v>58</v>
      </c>
      <c r="AD13" s="25"/>
      <c r="AE13" s="13" t="s">
        <v>54</v>
      </c>
      <c r="AF13" s="25"/>
      <c r="AG13" s="13" t="s">
        <v>59</v>
      </c>
      <c r="AH13" s="13" t="s">
        <v>60</v>
      </c>
      <c r="AI13" s="13" t="s">
        <v>59</v>
      </c>
      <c r="AJ13" s="13" t="s">
        <v>54</v>
      </c>
      <c r="AK13" s="13" t="s">
        <v>54</v>
      </c>
      <c r="AL13" s="13" t="s">
        <v>149</v>
      </c>
      <c r="AN13" s="13">
        <v>5</v>
      </c>
      <c r="AS13" s="13" t="s">
        <v>100</v>
      </c>
      <c r="AT13" s="13" t="s">
        <v>61</v>
      </c>
      <c r="AU13" s="13" t="s">
        <v>62</v>
      </c>
      <c r="AV13" s="13" t="s">
        <v>63</v>
      </c>
      <c r="AW13" s="15">
        <f>SUM((('[1]Policy Test Cases'!$G$83+'[1]Policy Test Cases'!$G$84+'[1]Policy Test Cases'!$G$85+'[1]Policy Test Cases'!$G$86+'[1]Policy Test Cases'!$G$87+'[1]Policy Test Cases'!$G$89)/'[1]Policy Test Cases'!$G$55)*('[1]SOV 3'!K13+'[1]SOV 3'!L13+'[1]SOV 3'!M13))</f>
        <v>522.94130438138507</v>
      </c>
      <c r="AX13" s="15">
        <f>(('[1]Policy Test Cases'!$G$88/'[1]Policy Test Cases'!$G$55)*('[1]SOV 3'!K13+'[1]SOV 3'!L13+'[1]SOV 3'!M13))</f>
        <v>425.58541627625118</v>
      </c>
      <c r="AY13" s="15">
        <f t="shared" si="0"/>
        <v>948.52672065763625</v>
      </c>
    </row>
    <row r="14" spans="1:51" x14ac:dyDescent="0.4">
      <c r="A14" s="13" t="s">
        <v>82</v>
      </c>
      <c r="B14" s="13">
        <v>13</v>
      </c>
      <c r="C14" s="22" t="s">
        <v>185</v>
      </c>
      <c r="D14" s="22" t="s">
        <v>156</v>
      </c>
      <c r="E14" s="22" t="s">
        <v>186</v>
      </c>
      <c r="F14" s="22" t="s">
        <v>131</v>
      </c>
      <c r="G14" s="23">
        <v>17608</v>
      </c>
      <c r="K14" s="22">
        <v>0</v>
      </c>
      <c r="L14" s="22">
        <v>1000000</v>
      </c>
      <c r="M14" s="22">
        <v>0</v>
      </c>
      <c r="N14" s="24">
        <v>7306</v>
      </c>
      <c r="O14" s="22">
        <v>2</v>
      </c>
      <c r="P14" s="22"/>
      <c r="Q14" s="22">
        <v>1</v>
      </c>
      <c r="R14" s="22" t="s">
        <v>75</v>
      </c>
      <c r="T14" s="22" t="s">
        <v>162</v>
      </c>
      <c r="U14" s="13" t="s">
        <v>146</v>
      </c>
      <c r="V14" s="13" t="s">
        <v>147</v>
      </c>
      <c r="W14" s="13" t="s">
        <v>148</v>
      </c>
      <c r="X14" s="13" t="s">
        <v>54</v>
      </c>
      <c r="Y14" s="13" t="s">
        <v>55</v>
      </c>
      <c r="Z14" s="13" t="s">
        <v>56</v>
      </c>
      <c r="AA14" s="13" t="s">
        <v>83</v>
      </c>
      <c r="AB14" s="13" t="s">
        <v>54</v>
      </c>
      <c r="AC14" s="13" t="s">
        <v>58</v>
      </c>
      <c r="AD14" s="25">
        <v>36161</v>
      </c>
      <c r="AE14" s="13" t="s">
        <v>54</v>
      </c>
      <c r="AF14" s="25"/>
      <c r="AG14" s="13" t="s">
        <v>59</v>
      </c>
      <c r="AH14" s="13" t="s">
        <v>60</v>
      </c>
      <c r="AI14" s="13" t="s">
        <v>59</v>
      </c>
      <c r="AJ14" s="13" t="s">
        <v>54</v>
      </c>
      <c r="AK14" s="13" t="s">
        <v>54</v>
      </c>
      <c r="AL14" s="13" t="s">
        <v>149</v>
      </c>
      <c r="AN14" s="13">
        <v>5</v>
      </c>
      <c r="AS14" s="13" t="s">
        <v>154</v>
      </c>
      <c r="AT14" s="13" t="s">
        <v>61</v>
      </c>
      <c r="AU14" s="13" t="s">
        <v>62</v>
      </c>
      <c r="AV14" s="13" t="s">
        <v>63</v>
      </c>
      <c r="AW14" s="15">
        <f>SUM((('[1]Policy Test Cases'!$G$83+'[1]Policy Test Cases'!$G$84+'[1]Policy Test Cases'!$G$85+'[1]Policy Test Cases'!$G$86+'[1]Policy Test Cases'!$G$87+'[1]Policy Test Cases'!$G$89)/'[1]Policy Test Cases'!$G$55)*('[1]SOV 3'!K14+'[1]SOV 3'!L14+'[1]SOV 3'!M14))</f>
        <v>522.94130438138507</v>
      </c>
      <c r="AX14" s="15">
        <f>(('[1]Policy Test Cases'!$G$88/'[1]Policy Test Cases'!$G$55)*('[1]SOV 3'!K14+'[1]SOV 3'!L14+'[1]SOV 3'!M14))</f>
        <v>425.58541627625118</v>
      </c>
      <c r="AY14" s="15">
        <f t="shared" si="0"/>
        <v>948.52672065763625</v>
      </c>
    </row>
    <row r="15" spans="1:51" x14ac:dyDescent="0.4">
      <c r="A15" s="13" t="s">
        <v>84</v>
      </c>
      <c r="B15" s="13">
        <v>14</v>
      </c>
      <c r="C15" s="22" t="s">
        <v>187</v>
      </c>
      <c r="D15" s="22" t="s">
        <v>156</v>
      </c>
      <c r="E15" s="22" t="s">
        <v>188</v>
      </c>
      <c r="F15" s="22" t="s">
        <v>135</v>
      </c>
      <c r="G15" s="23">
        <v>37172</v>
      </c>
      <c r="K15" s="22">
        <v>0</v>
      </c>
      <c r="L15" s="22">
        <v>27000000</v>
      </c>
      <c r="M15" s="22">
        <v>0</v>
      </c>
      <c r="N15" s="24">
        <v>25569</v>
      </c>
      <c r="O15" s="22">
        <v>1</v>
      </c>
      <c r="P15" s="22"/>
      <c r="Q15" s="22">
        <v>1</v>
      </c>
      <c r="R15" s="22" t="s">
        <v>75</v>
      </c>
      <c r="T15" s="22" t="s">
        <v>145</v>
      </c>
      <c r="U15" s="13" t="s">
        <v>146</v>
      </c>
      <c r="V15" s="13" t="s">
        <v>147</v>
      </c>
      <c r="W15" s="13" t="s">
        <v>148</v>
      </c>
      <c r="X15" s="13" t="s">
        <v>54</v>
      </c>
      <c r="Y15" s="13" t="s">
        <v>55</v>
      </c>
      <c r="Z15" s="13" t="s">
        <v>56</v>
      </c>
      <c r="AA15" s="13" t="s">
        <v>83</v>
      </c>
      <c r="AB15" s="13" t="s">
        <v>54</v>
      </c>
      <c r="AC15" s="13" t="s">
        <v>58</v>
      </c>
      <c r="AD15" s="25"/>
      <c r="AE15" s="13" t="s">
        <v>54</v>
      </c>
      <c r="AF15" s="25"/>
      <c r="AG15" s="13" t="s">
        <v>59</v>
      </c>
      <c r="AH15" s="13" t="s">
        <v>60</v>
      </c>
      <c r="AI15" s="13" t="s">
        <v>59</v>
      </c>
      <c r="AJ15" s="13" t="s">
        <v>54</v>
      </c>
      <c r="AK15" s="13" t="s">
        <v>54</v>
      </c>
      <c r="AL15" s="13" t="s">
        <v>149</v>
      </c>
      <c r="AN15" s="13">
        <v>5</v>
      </c>
      <c r="AS15" s="13" t="s">
        <v>100</v>
      </c>
      <c r="AT15" s="13" t="s">
        <v>61</v>
      </c>
      <c r="AU15" s="13" t="s">
        <v>62</v>
      </c>
      <c r="AV15" s="13" t="s">
        <v>63</v>
      </c>
      <c r="AW15" s="15">
        <f>SUM((('[1]Policy Test Cases'!$G$83+'[1]Policy Test Cases'!$G$84+'[1]Policy Test Cases'!$G$85+'[1]Policy Test Cases'!$G$86+'[1]Policy Test Cases'!$G$87+'[1]Policy Test Cases'!$G$89)/'[1]Policy Test Cases'!$G$55)*('[1]SOV 3'!K15+'[1]SOV 3'!L15+'[1]SOV 3'!M15))</f>
        <v>14119.415218297398</v>
      </c>
      <c r="AX15" s="15">
        <f>(('[1]Policy Test Cases'!$G$88/'[1]Policy Test Cases'!$G$55)*('[1]SOV 3'!K15+'[1]SOV 3'!L15+'[1]SOV 3'!M15))</f>
        <v>11490.806239458781</v>
      </c>
      <c r="AY15" s="15">
        <f t="shared" si="0"/>
        <v>25610.221457756179</v>
      </c>
    </row>
    <row r="16" spans="1:51" x14ac:dyDescent="0.4">
      <c r="A16" s="13" t="s">
        <v>86</v>
      </c>
      <c r="B16" s="13">
        <v>15</v>
      </c>
      <c r="C16" s="22" t="s">
        <v>189</v>
      </c>
      <c r="D16" s="22" t="s">
        <v>156</v>
      </c>
      <c r="E16" s="22" t="s">
        <v>190</v>
      </c>
      <c r="F16" s="22" t="s">
        <v>135</v>
      </c>
      <c r="G16" s="23">
        <v>37066</v>
      </c>
      <c r="K16" s="22">
        <v>0</v>
      </c>
      <c r="L16" s="22">
        <v>1000000</v>
      </c>
      <c r="M16" s="22">
        <v>0</v>
      </c>
      <c r="N16" s="24"/>
      <c r="O16" s="22">
        <v>1</v>
      </c>
      <c r="P16" s="22"/>
      <c r="Q16" s="22">
        <v>1</v>
      </c>
      <c r="R16" s="22" t="s">
        <v>54</v>
      </c>
      <c r="T16" s="22" t="s">
        <v>162</v>
      </c>
      <c r="U16" s="13" t="s">
        <v>146</v>
      </c>
      <c r="V16" s="13" t="s">
        <v>147</v>
      </c>
      <c r="W16" s="13" t="s">
        <v>148</v>
      </c>
      <c r="X16" s="13" t="s">
        <v>54</v>
      </c>
      <c r="Y16" s="13" t="s">
        <v>55</v>
      </c>
      <c r="Z16" s="13" t="s">
        <v>56</v>
      </c>
      <c r="AA16" s="13" t="s">
        <v>83</v>
      </c>
      <c r="AB16" s="13" t="s">
        <v>54</v>
      </c>
      <c r="AC16" s="13" t="s">
        <v>58</v>
      </c>
      <c r="AD16" s="25"/>
      <c r="AE16" s="13" t="s">
        <v>54</v>
      </c>
      <c r="AF16" s="25"/>
      <c r="AG16" s="13" t="s">
        <v>59</v>
      </c>
      <c r="AH16" s="13" t="s">
        <v>60</v>
      </c>
      <c r="AI16" s="13" t="s">
        <v>59</v>
      </c>
      <c r="AJ16" s="13" t="s">
        <v>54</v>
      </c>
      <c r="AK16" s="13" t="s">
        <v>54</v>
      </c>
      <c r="AL16" s="13" t="s">
        <v>163</v>
      </c>
      <c r="AN16" s="13">
        <v>4</v>
      </c>
      <c r="AS16" s="13" t="s">
        <v>164</v>
      </c>
      <c r="AT16" s="13" t="s">
        <v>61</v>
      </c>
      <c r="AU16" s="13" t="s">
        <v>62</v>
      </c>
      <c r="AV16" s="13" t="s">
        <v>63</v>
      </c>
      <c r="AW16" s="15">
        <f>SUM((('[1]Policy Test Cases'!$G$83+'[1]Policy Test Cases'!$G$84+'[1]Policy Test Cases'!$G$85+'[1]Policy Test Cases'!$G$86+'[1]Policy Test Cases'!$G$87+'[1]Policy Test Cases'!$G$89)/'[1]Policy Test Cases'!$G$55)*('[1]SOV 3'!K16+'[1]SOV 3'!L16+'[1]SOV 3'!M16))</f>
        <v>522.94130438138507</v>
      </c>
      <c r="AX16" s="15">
        <f>(('[1]Policy Test Cases'!$G$88/'[1]Policy Test Cases'!$G$55)*('[1]SOV 3'!K16+'[1]SOV 3'!L16+'[1]SOV 3'!M16))</f>
        <v>425.58541627625118</v>
      </c>
      <c r="AY16" s="15">
        <f t="shared" si="0"/>
        <v>948.52672065763625</v>
      </c>
    </row>
    <row r="17" spans="1:51" x14ac:dyDescent="0.4">
      <c r="A17" s="13" t="s">
        <v>89</v>
      </c>
      <c r="B17" s="13">
        <v>16</v>
      </c>
      <c r="C17" s="22" t="s">
        <v>191</v>
      </c>
      <c r="D17" s="22" t="s">
        <v>156</v>
      </c>
      <c r="E17" s="22" t="s">
        <v>192</v>
      </c>
      <c r="F17" s="22" t="s">
        <v>135</v>
      </c>
      <c r="G17" s="23">
        <v>6820</v>
      </c>
      <c r="K17" s="22">
        <v>6030000</v>
      </c>
      <c r="L17" s="22">
        <v>7474690</v>
      </c>
      <c r="M17" s="22">
        <v>26000000</v>
      </c>
      <c r="N17" s="24">
        <v>18994</v>
      </c>
      <c r="O17" s="22"/>
      <c r="P17" s="22"/>
      <c r="Q17" s="22">
        <v>1</v>
      </c>
      <c r="R17" s="22" t="s">
        <v>78</v>
      </c>
      <c r="T17" s="22" t="s">
        <v>193</v>
      </c>
      <c r="U17" s="13" t="s">
        <v>176</v>
      </c>
      <c r="V17" s="13" t="s">
        <v>147</v>
      </c>
      <c r="W17" s="13" t="s">
        <v>148</v>
      </c>
      <c r="X17" s="13" t="s">
        <v>54</v>
      </c>
      <c r="Y17" s="13" t="s">
        <v>55</v>
      </c>
      <c r="Z17" s="13" t="s">
        <v>56</v>
      </c>
      <c r="AA17" s="13" t="s">
        <v>83</v>
      </c>
      <c r="AB17" s="13" t="s">
        <v>54</v>
      </c>
      <c r="AC17" s="13" t="s">
        <v>58</v>
      </c>
      <c r="AD17" s="25">
        <v>36892</v>
      </c>
      <c r="AE17" s="13" t="s">
        <v>54</v>
      </c>
      <c r="AF17" s="25"/>
      <c r="AG17" s="13" t="s">
        <v>59</v>
      </c>
      <c r="AH17" s="13" t="s">
        <v>60</v>
      </c>
      <c r="AI17" s="13" t="s">
        <v>59</v>
      </c>
      <c r="AJ17" s="13" t="s">
        <v>54</v>
      </c>
      <c r="AK17" s="13" t="s">
        <v>54</v>
      </c>
      <c r="AL17" s="13" t="s">
        <v>149</v>
      </c>
      <c r="AN17" s="13">
        <v>6</v>
      </c>
      <c r="AS17" s="13" t="s">
        <v>164</v>
      </c>
      <c r="AT17" s="13" t="s">
        <v>61</v>
      </c>
      <c r="AU17" s="13" t="s">
        <v>62</v>
      </c>
      <c r="AV17" s="13" t="s">
        <v>63</v>
      </c>
      <c r="AW17" s="15">
        <f>SUM((('[1]Policy Test Cases'!$G$83+'[1]Policy Test Cases'!$G$84+'[1]Policy Test Cases'!$G$85+'[1]Policy Test Cases'!$G$86+'[1]Policy Test Cases'!$G$87+'[1]Policy Test Cases'!$G$89)/'[1]Policy Test Cases'!$G$55)*('[1]SOV 3'!K17+'[1]SOV 3'!L17+'[1]SOV 3'!M17))</f>
        <v>20658.634117782258</v>
      </c>
      <c r="AX17" s="15">
        <f>(('[1]Policy Test Cases'!$G$88/'[1]Policy Test Cases'!$G$55)*('[1]SOV 3'!K17+'[1]SOV 3'!L17+'[1]SOV 3'!M17))</f>
        <v>16812.619938514257</v>
      </c>
      <c r="AY17" s="15">
        <f t="shared" si="0"/>
        <v>37471.254056296515</v>
      </c>
    </row>
    <row r="18" spans="1:51" x14ac:dyDescent="0.4">
      <c r="A18" s="13" t="s">
        <v>91</v>
      </c>
      <c r="B18" s="13">
        <v>17</v>
      </c>
      <c r="C18" s="22" t="s">
        <v>194</v>
      </c>
      <c r="D18" s="22" t="s">
        <v>156</v>
      </c>
      <c r="E18" s="22" t="s">
        <v>192</v>
      </c>
      <c r="F18" s="22" t="s">
        <v>135</v>
      </c>
      <c r="G18" s="23">
        <v>38225</v>
      </c>
      <c r="K18" s="22">
        <v>1500000</v>
      </c>
      <c r="L18" s="22">
        <v>2300000</v>
      </c>
      <c r="M18" s="22">
        <v>0</v>
      </c>
      <c r="N18" s="24"/>
      <c r="O18" s="22">
        <v>1</v>
      </c>
      <c r="P18" s="22"/>
      <c r="Q18" s="22">
        <v>1</v>
      </c>
      <c r="R18" s="22" t="s">
        <v>169</v>
      </c>
      <c r="T18" s="22" t="s">
        <v>158</v>
      </c>
      <c r="U18" s="13" t="s">
        <v>176</v>
      </c>
      <c r="V18" s="13" t="s">
        <v>147</v>
      </c>
      <c r="W18" s="13" t="s">
        <v>148</v>
      </c>
      <c r="X18" s="13" t="s">
        <v>54</v>
      </c>
      <c r="Y18" s="13" t="s">
        <v>55</v>
      </c>
      <c r="Z18" s="13" t="s">
        <v>56</v>
      </c>
      <c r="AA18" s="13" t="s">
        <v>83</v>
      </c>
      <c r="AB18" s="13" t="s">
        <v>54</v>
      </c>
      <c r="AC18" s="13" t="s">
        <v>58</v>
      </c>
      <c r="AD18" s="25"/>
      <c r="AE18" s="13" t="s">
        <v>54</v>
      </c>
      <c r="AF18" s="25"/>
      <c r="AG18" s="13" t="s">
        <v>59</v>
      </c>
      <c r="AH18" s="13" t="s">
        <v>60</v>
      </c>
      <c r="AI18" s="13" t="s">
        <v>59</v>
      </c>
      <c r="AJ18" s="13" t="s">
        <v>54</v>
      </c>
      <c r="AK18" s="13" t="s">
        <v>54</v>
      </c>
      <c r="AL18" s="13" t="s">
        <v>163</v>
      </c>
      <c r="AN18" s="13">
        <v>1</v>
      </c>
      <c r="AS18" s="13" t="s">
        <v>100</v>
      </c>
      <c r="AT18" s="13" t="s">
        <v>61</v>
      </c>
      <c r="AU18" s="13" t="s">
        <v>62</v>
      </c>
      <c r="AV18" s="13" t="s">
        <v>63</v>
      </c>
      <c r="AW18" s="15">
        <f>SUM((('[1]Policy Test Cases'!$G$83+'[1]Policy Test Cases'!$G$84+'[1]Policy Test Cases'!$G$85+'[1]Policy Test Cases'!$G$86+'[1]Policy Test Cases'!$G$87+'[1]Policy Test Cases'!$G$89)/'[1]Policy Test Cases'!$G$55)*('[1]SOV 3'!K18+'[1]SOV 3'!L18+'[1]SOV 3'!M18))</f>
        <v>1987.1769566492633</v>
      </c>
      <c r="AX18" s="15">
        <f>(('[1]Policy Test Cases'!$G$88/'[1]Policy Test Cases'!$G$55)*('[1]SOV 3'!K18+'[1]SOV 3'!L18+'[1]SOV 3'!M18))</f>
        <v>1617.2245818497545</v>
      </c>
      <c r="AY18" s="15">
        <f t="shared" si="0"/>
        <v>3604.401538499018</v>
      </c>
    </row>
    <row r="19" spans="1:51" x14ac:dyDescent="0.4">
      <c r="A19" s="13" t="s">
        <v>92</v>
      </c>
      <c r="B19" s="13">
        <v>18</v>
      </c>
      <c r="C19" s="22" t="s">
        <v>195</v>
      </c>
      <c r="D19" s="22" t="s">
        <v>156</v>
      </c>
      <c r="E19" s="22" t="s">
        <v>192</v>
      </c>
      <c r="F19" s="22" t="s">
        <v>135</v>
      </c>
      <c r="G19" s="23">
        <v>38225</v>
      </c>
      <c r="K19" s="26">
        <v>0</v>
      </c>
      <c r="L19" s="26">
        <v>5500000</v>
      </c>
      <c r="M19" s="26">
        <v>0</v>
      </c>
      <c r="N19" s="24"/>
      <c r="O19" s="22">
        <v>1</v>
      </c>
      <c r="P19" s="22"/>
      <c r="Q19" s="22">
        <v>1</v>
      </c>
      <c r="R19" s="22" t="s">
        <v>169</v>
      </c>
      <c r="T19" s="22" t="s">
        <v>162</v>
      </c>
      <c r="U19" s="13" t="s">
        <v>146</v>
      </c>
      <c r="V19" s="13" t="s">
        <v>147</v>
      </c>
      <c r="W19" s="13" t="s">
        <v>148</v>
      </c>
      <c r="X19" s="13" t="s">
        <v>54</v>
      </c>
      <c r="Y19" s="13" t="s">
        <v>55</v>
      </c>
      <c r="Z19" s="13" t="s">
        <v>56</v>
      </c>
      <c r="AA19" s="13" t="s">
        <v>83</v>
      </c>
      <c r="AB19" s="13" t="s">
        <v>54</v>
      </c>
      <c r="AC19" s="13" t="s">
        <v>58</v>
      </c>
      <c r="AD19" s="25"/>
      <c r="AE19" s="13" t="s">
        <v>54</v>
      </c>
      <c r="AF19" s="25"/>
      <c r="AG19" s="13" t="s">
        <v>59</v>
      </c>
      <c r="AH19" s="13" t="s">
        <v>60</v>
      </c>
      <c r="AI19" s="13" t="s">
        <v>59</v>
      </c>
      <c r="AJ19" s="13" t="s">
        <v>54</v>
      </c>
      <c r="AK19" s="13" t="s">
        <v>54</v>
      </c>
      <c r="AL19" s="13" t="s">
        <v>173</v>
      </c>
      <c r="AN19" s="13">
        <v>2</v>
      </c>
      <c r="AS19" s="13" t="s">
        <v>100</v>
      </c>
      <c r="AT19" s="13" t="s">
        <v>61</v>
      </c>
      <c r="AU19" s="13" t="s">
        <v>62</v>
      </c>
      <c r="AV19" s="13" t="s">
        <v>63</v>
      </c>
      <c r="AW19" s="15">
        <f>SUM((('[1]Policy Test Cases'!$G$83+'[1]Policy Test Cases'!$G$84+'[1]Policy Test Cases'!$G$85+'[1]Policy Test Cases'!$G$86+'[1]Policy Test Cases'!$G$87+'[1]Policy Test Cases'!$G$89)/'[1]Policy Test Cases'!$G$55)*('[1]SOV 3'!K19+'[1]SOV 3'!L19+'[1]SOV 3'!M19))</f>
        <v>2876.1771740976178</v>
      </c>
      <c r="AX19" s="15">
        <f>(('[1]Policy Test Cases'!$G$88/'[1]Policy Test Cases'!$G$55)*('[1]SOV 3'!K19+'[1]SOV 3'!L19+'[1]SOV 3'!M19))</f>
        <v>2340.7197895193813</v>
      </c>
      <c r="AY19" s="15">
        <f t="shared" si="0"/>
        <v>5216.8969636169986</v>
      </c>
    </row>
    <row r="20" spans="1:51" x14ac:dyDescent="0.4">
      <c r="A20" s="13" t="s">
        <v>93</v>
      </c>
      <c r="B20" s="13">
        <v>19</v>
      </c>
      <c r="C20" s="22" t="s">
        <v>196</v>
      </c>
      <c r="D20" s="22"/>
      <c r="E20" s="22" t="s">
        <v>197</v>
      </c>
      <c r="F20" s="22" t="s">
        <v>110</v>
      </c>
      <c r="G20" s="23">
        <v>96819</v>
      </c>
      <c r="K20" s="22">
        <v>0</v>
      </c>
      <c r="L20" s="22">
        <v>75000</v>
      </c>
      <c r="M20" s="22">
        <v>0</v>
      </c>
      <c r="N20" s="24"/>
      <c r="O20" s="22"/>
      <c r="P20" s="22">
        <v>4127</v>
      </c>
      <c r="Q20" s="22">
        <v>1</v>
      </c>
      <c r="R20" s="22" t="s">
        <v>75</v>
      </c>
      <c r="T20" s="22" t="s">
        <v>158</v>
      </c>
      <c r="U20" s="13" t="s">
        <v>146</v>
      </c>
      <c r="V20" s="13" t="s">
        <v>147</v>
      </c>
      <c r="W20" s="13" t="s">
        <v>148</v>
      </c>
      <c r="X20" s="13" t="s">
        <v>54</v>
      </c>
      <c r="Y20" s="13" t="s">
        <v>55</v>
      </c>
      <c r="Z20" s="13" t="s">
        <v>56</v>
      </c>
      <c r="AA20" s="13" t="s">
        <v>83</v>
      </c>
      <c r="AB20" s="13" t="s">
        <v>54</v>
      </c>
      <c r="AC20" s="13" t="s">
        <v>58</v>
      </c>
      <c r="AD20" s="25"/>
      <c r="AE20" s="13" t="s">
        <v>54</v>
      </c>
      <c r="AF20" s="25"/>
      <c r="AG20" s="13" t="s">
        <v>59</v>
      </c>
      <c r="AH20" s="13" t="s">
        <v>60</v>
      </c>
      <c r="AI20" s="13" t="s">
        <v>59</v>
      </c>
      <c r="AJ20" s="13" t="s">
        <v>54</v>
      </c>
      <c r="AK20" s="13" t="s">
        <v>54</v>
      </c>
      <c r="AL20" s="13" t="s">
        <v>149</v>
      </c>
      <c r="AN20" s="13">
        <v>4</v>
      </c>
      <c r="AS20" s="13" t="s">
        <v>164</v>
      </c>
      <c r="AT20" s="13" t="s">
        <v>61</v>
      </c>
      <c r="AU20" s="13" t="s">
        <v>62</v>
      </c>
      <c r="AV20" s="13" t="s">
        <v>63</v>
      </c>
      <c r="AW20" s="15">
        <f>SUM((('[1]Policy Test Cases'!$G$83+'[1]Policy Test Cases'!$G$84+'[1]Policy Test Cases'!$G$85+'[1]Policy Test Cases'!$G$86+'[1]Policy Test Cases'!$G$87+'[1]Policy Test Cases'!$G$89)/'[1]Policy Test Cases'!$G$55)*('[1]SOV 3'!K20+'[1]SOV 3'!L20+'[1]SOV 3'!M20))</f>
        <v>39.220597828603879</v>
      </c>
      <c r="AX20" s="15">
        <f>(('[1]Policy Test Cases'!$G$88/'[1]Policy Test Cases'!$G$55)*('[1]SOV 3'!K20+'[1]SOV 3'!L20+'[1]SOV 3'!M20))</f>
        <v>31.918906220718839</v>
      </c>
      <c r="AY20" s="15">
        <f t="shared" si="0"/>
        <v>71.13950404932271</v>
      </c>
    </row>
    <row r="21" spans="1:51" x14ac:dyDescent="0.4">
      <c r="A21" s="13" t="s">
        <v>94</v>
      </c>
      <c r="B21" s="13">
        <v>20</v>
      </c>
      <c r="C21" s="22" t="s">
        <v>198</v>
      </c>
      <c r="D21" s="22"/>
      <c r="E21" s="22" t="s">
        <v>68</v>
      </c>
      <c r="F21" s="22" t="s">
        <v>69</v>
      </c>
      <c r="G21" s="23">
        <v>21240</v>
      </c>
      <c r="K21" s="22">
        <v>0</v>
      </c>
      <c r="L21" s="22">
        <v>75000</v>
      </c>
      <c r="M21" s="22">
        <v>0</v>
      </c>
      <c r="N21" s="24"/>
      <c r="O21" s="22"/>
      <c r="P21" s="22">
        <v>6991</v>
      </c>
      <c r="Q21" s="22">
        <v>1</v>
      </c>
      <c r="R21" s="22" t="s">
        <v>75</v>
      </c>
      <c r="T21" s="22" t="s">
        <v>158</v>
      </c>
      <c r="U21" s="13" t="s">
        <v>146</v>
      </c>
      <c r="V21" s="13" t="s">
        <v>147</v>
      </c>
      <c r="W21" s="13" t="s">
        <v>148</v>
      </c>
      <c r="X21" s="13" t="s">
        <v>54</v>
      </c>
      <c r="Y21" s="13" t="s">
        <v>55</v>
      </c>
      <c r="Z21" s="13" t="s">
        <v>56</v>
      </c>
      <c r="AA21" s="13" t="s">
        <v>83</v>
      </c>
      <c r="AB21" s="13" t="s">
        <v>54</v>
      </c>
      <c r="AC21" s="13" t="s">
        <v>58</v>
      </c>
      <c r="AD21" s="25"/>
      <c r="AE21" s="13" t="s">
        <v>54</v>
      </c>
      <c r="AF21" s="25"/>
      <c r="AG21" s="13" t="s">
        <v>59</v>
      </c>
      <c r="AH21" s="13" t="s">
        <v>60</v>
      </c>
      <c r="AI21" s="13" t="s">
        <v>59</v>
      </c>
      <c r="AJ21" s="13" t="s">
        <v>54</v>
      </c>
      <c r="AK21" s="13" t="s">
        <v>54</v>
      </c>
      <c r="AL21" s="13" t="s">
        <v>149</v>
      </c>
      <c r="AN21" s="13">
        <v>6</v>
      </c>
      <c r="AS21" s="13" t="s">
        <v>179</v>
      </c>
      <c r="AT21" s="13" t="s">
        <v>61</v>
      </c>
      <c r="AU21" s="13" t="s">
        <v>62</v>
      </c>
      <c r="AV21" s="13" t="s">
        <v>63</v>
      </c>
      <c r="AW21" s="15">
        <f>SUM((('[1]Policy Test Cases'!$G$83+'[1]Policy Test Cases'!$G$84+'[1]Policy Test Cases'!$G$85+'[1]Policy Test Cases'!$G$86+'[1]Policy Test Cases'!$G$87+'[1]Policy Test Cases'!$G$89)/'[1]Policy Test Cases'!$G$55)*('[1]SOV 3'!K21+'[1]SOV 3'!L21+'[1]SOV 3'!M21))</f>
        <v>39.220597828603879</v>
      </c>
      <c r="AX21" s="15">
        <f>(('[1]Policy Test Cases'!$G$88/'[1]Policy Test Cases'!$G$55)*('[1]SOV 3'!K21+'[1]SOV 3'!L21+'[1]SOV 3'!M21))</f>
        <v>31.918906220718839</v>
      </c>
      <c r="AY21" s="15">
        <f t="shared" si="0"/>
        <v>71.13950404932271</v>
      </c>
    </row>
    <row r="22" spans="1:51" x14ac:dyDescent="0.4">
      <c r="A22" s="13" t="s">
        <v>96</v>
      </c>
      <c r="B22" s="13">
        <v>21</v>
      </c>
      <c r="C22" s="22" t="s">
        <v>199</v>
      </c>
      <c r="D22" s="22"/>
      <c r="E22" s="22" t="s">
        <v>200</v>
      </c>
      <c r="F22" s="22" t="s">
        <v>126</v>
      </c>
      <c r="G22" s="23">
        <v>89120</v>
      </c>
      <c r="K22" s="22">
        <v>0</v>
      </c>
      <c r="L22" s="22">
        <v>100000</v>
      </c>
      <c r="M22" s="22">
        <v>0</v>
      </c>
      <c r="N22" s="24"/>
      <c r="O22" s="22"/>
      <c r="P22" s="22">
        <v>4809</v>
      </c>
      <c r="Q22" s="22">
        <v>1</v>
      </c>
      <c r="R22" s="22" t="s">
        <v>75</v>
      </c>
      <c r="T22" s="22" t="s">
        <v>158</v>
      </c>
      <c r="U22" s="13" t="s">
        <v>146</v>
      </c>
      <c r="V22" s="13" t="s">
        <v>147</v>
      </c>
      <c r="W22" s="13" t="s">
        <v>148</v>
      </c>
      <c r="X22" s="13" t="s">
        <v>54</v>
      </c>
      <c r="Y22" s="13" t="s">
        <v>55</v>
      </c>
      <c r="Z22" s="13" t="s">
        <v>56</v>
      </c>
      <c r="AA22" s="13" t="s">
        <v>83</v>
      </c>
      <c r="AB22" s="13" t="s">
        <v>54</v>
      </c>
      <c r="AC22" s="13" t="s">
        <v>58</v>
      </c>
      <c r="AD22" s="25"/>
      <c r="AE22" s="13" t="s">
        <v>54</v>
      </c>
      <c r="AF22" s="25"/>
      <c r="AG22" s="13" t="s">
        <v>59</v>
      </c>
      <c r="AH22" s="13" t="s">
        <v>60</v>
      </c>
      <c r="AI22" s="13" t="s">
        <v>59</v>
      </c>
      <c r="AJ22" s="13" t="s">
        <v>54</v>
      </c>
      <c r="AK22" s="13" t="s">
        <v>54</v>
      </c>
      <c r="AL22" s="13" t="s">
        <v>173</v>
      </c>
      <c r="AN22" s="13">
        <v>3</v>
      </c>
      <c r="AS22" s="13" t="s">
        <v>100</v>
      </c>
      <c r="AT22" s="13" t="s">
        <v>61</v>
      </c>
      <c r="AU22" s="13" t="s">
        <v>62</v>
      </c>
      <c r="AV22" s="13" t="s">
        <v>63</v>
      </c>
      <c r="AW22" s="15">
        <f>SUM((('[1]Policy Test Cases'!$G$83+'[1]Policy Test Cases'!$G$84+'[1]Policy Test Cases'!$G$85+'[1]Policy Test Cases'!$G$86+'[1]Policy Test Cases'!$G$87+'[1]Policy Test Cases'!$G$89)/'[1]Policy Test Cases'!$G$55)*('[1]SOV 3'!K22+'[1]SOV 3'!L22+'[1]SOV 3'!M22))</f>
        <v>52.294130438138509</v>
      </c>
      <c r="AX22" s="15">
        <f>(('[1]Policy Test Cases'!$G$88/'[1]Policy Test Cases'!$G$55)*('[1]SOV 3'!K22+'[1]SOV 3'!L22+'[1]SOV 3'!M22))</f>
        <v>42.558541627625118</v>
      </c>
      <c r="AY22" s="15">
        <f t="shared" si="0"/>
        <v>94.852672065763628</v>
      </c>
    </row>
    <row r="23" spans="1:51" x14ac:dyDescent="0.4">
      <c r="A23" s="13" t="s">
        <v>98</v>
      </c>
      <c r="B23" s="13">
        <v>22</v>
      </c>
      <c r="C23" s="22" t="s">
        <v>201</v>
      </c>
      <c r="D23" s="22"/>
      <c r="E23" s="22" t="s">
        <v>202</v>
      </c>
      <c r="F23" s="22" t="s">
        <v>129</v>
      </c>
      <c r="G23" s="23">
        <v>74115</v>
      </c>
      <c r="K23" s="22">
        <v>5002148</v>
      </c>
      <c r="L23" s="22">
        <v>7000000</v>
      </c>
      <c r="M23" s="22">
        <v>1000000</v>
      </c>
      <c r="N23" s="24">
        <v>29221</v>
      </c>
      <c r="O23" s="22"/>
      <c r="P23" s="22">
        <v>45620</v>
      </c>
      <c r="Q23" s="22">
        <v>1</v>
      </c>
      <c r="R23" s="22" t="s">
        <v>75</v>
      </c>
      <c r="T23" s="22" t="s">
        <v>203</v>
      </c>
      <c r="U23" s="13" t="s">
        <v>176</v>
      </c>
      <c r="V23" s="13" t="s">
        <v>147</v>
      </c>
      <c r="W23" s="13" t="s">
        <v>148</v>
      </c>
      <c r="X23" s="13" t="s">
        <v>54</v>
      </c>
      <c r="Y23" s="13" t="s">
        <v>54</v>
      </c>
      <c r="Z23" s="13" t="s">
        <v>56</v>
      </c>
      <c r="AA23" s="13" t="s">
        <v>57</v>
      </c>
      <c r="AB23" s="13" t="s">
        <v>54</v>
      </c>
      <c r="AC23" s="13" t="s">
        <v>58</v>
      </c>
      <c r="AD23" s="25"/>
      <c r="AE23" s="13" t="s">
        <v>54</v>
      </c>
      <c r="AF23" s="25"/>
      <c r="AG23" s="13" t="s">
        <v>59</v>
      </c>
      <c r="AH23" s="13" t="s">
        <v>60</v>
      </c>
      <c r="AI23" s="13" t="s">
        <v>59</v>
      </c>
      <c r="AJ23" s="13" t="s">
        <v>54</v>
      </c>
      <c r="AK23" s="13" t="s">
        <v>54</v>
      </c>
      <c r="AL23" s="13" t="s">
        <v>163</v>
      </c>
      <c r="AN23" s="13">
        <v>1</v>
      </c>
      <c r="AS23" s="13" t="s">
        <v>100</v>
      </c>
      <c r="AT23" s="13" t="s">
        <v>61</v>
      </c>
      <c r="AU23" s="13" t="s">
        <v>62</v>
      </c>
      <c r="AV23" s="13" t="s">
        <v>63</v>
      </c>
      <c r="AW23" s="15">
        <f>SUM((('[1]Policy Test Cases'!$G$83+'[1]Policy Test Cases'!$G$84+'[1]Policy Test Cases'!$G$85+'[1]Policy Test Cases'!$G$86+'[1]Policy Test Cases'!$G$87+'[1]Policy Test Cases'!$G$89)/'[1]Policy Test Cases'!$G$55)*('[1]SOV 3'!K23+'[1]SOV 3'!L23+'[1]SOV 3'!M23))</f>
        <v>6799.3602348798177</v>
      </c>
      <c r="AX23" s="15">
        <f>(('[1]Policy Test Cases'!$G$88/'[1]Policy Test Cases'!$G$55)*('[1]SOV 3'!K23+'[1]SOV 3'!L23+'[1]SOV 3'!M23))</f>
        <v>5533.5245690654265</v>
      </c>
      <c r="AY23" s="15">
        <f t="shared" si="0"/>
        <v>12332.884803945244</v>
      </c>
    </row>
    <row r="24" spans="1:51" x14ac:dyDescent="0.4">
      <c r="A24" s="13" t="s">
        <v>99</v>
      </c>
      <c r="B24" s="13">
        <v>23</v>
      </c>
      <c r="C24" s="22" t="s">
        <v>201</v>
      </c>
      <c r="D24" s="22"/>
      <c r="E24" s="22" t="s">
        <v>202</v>
      </c>
      <c r="F24" s="22" t="s">
        <v>129</v>
      </c>
      <c r="G24" s="23">
        <v>74115</v>
      </c>
      <c r="K24" s="22">
        <v>1</v>
      </c>
      <c r="L24" s="22">
        <v>0</v>
      </c>
      <c r="M24" s="22">
        <v>0</v>
      </c>
      <c r="N24" s="24">
        <v>29221</v>
      </c>
      <c r="O24" s="22"/>
      <c r="P24" s="22">
        <v>2475</v>
      </c>
      <c r="Q24" s="22">
        <v>1</v>
      </c>
      <c r="R24" s="22" t="s">
        <v>75</v>
      </c>
      <c r="T24" s="22" t="s">
        <v>203</v>
      </c>
      <c r="U24" s="13" t="s">
        <v>146</v>
      </c>
      <c r="V24" s="13" t="s">
        <v>147</v>
      </c>
      <c r="W24" s="13" t="s">
        <v>148</v>
      </c>
      <c r="X24" s="13" t="s">
        <v>54</v>
      </c>
      <c r="Y24" s="13" t="s">
        <v>54</v>
      </c>
      <c r="Z24" s="13" t="s">
        <v>56</v>
      </c>
      <c r="AA24" s="13" t="s">
        <v>57</v>
      </c>
      <c r="AB24" s="13" t="s">
        <v>54</v>
      </c>
      <c r="AC24" s="13" t="s">
        <v>58</v>
      </c>
      <c r="AD24" s="25"/>
      <c r="AE24" s="13" t="s">
        <v>54</v>
      </c>
      <c r="AF24" s="25"/>
      <c r="AG24" s="13" t="s">
        <v>59</v>
      </c>
      <c r="AH24" s="13" t="s">
        <v>60</v>
      </c>
      <c r="AI24" s="13" t="s">
        <v>59</v>
      </c>
      <c r="AJ24" s="13" t="s">
        <v>54</v>
      </c>
      <c r="AK24" s="13" t="s">
        <v>54</v>
      </c>
      <c r="AL24" s="13" t="s">
        <v>149</v>
      </c>
      <c r="AN24" s="13">
        <v>5</v>
      </c>
      <c r="AS24" s="13" t="s">
        <v>100</v>
      </c>
      <c r="AT24" s="13" t="s">
        <v>61</v>
      </c>
      <c r="AU24" s="13" t="s">
        <v>62</v>
      </c>
      <c r="AV24" s="13" t="s">
        <v>63</v>
      </c>
      <c r="AW24" s="15">
        <f>SUM((('[1]Policy Test Cases'!$G$83+'[1]Policy Test Cases'!$G$84+'[1]Policy Test Cases'!$G$85+'[1]Policy Test Cases'!$G$86+'[1]Policy Test Cases'!$G$87+'[1]Policy Test Cases'!$G$89)/'[1]Policy Test Cases'!$G$55)*('[1]SOV 3'!K24+'[1]SOV 3'!L24+'[1]SOV 3'!M24))</f>
        <v>5.2294130438138508E-4</v>
      </c>
      <c r="AX24" s="15">
        <f>(('[1]Policy Test Cases'!$G$88/'[1]Policy Test Cases'!$G$55)*('[1]SOV 3'!K24+'[1]SOV 3'!L24+'[1]SOV 3'!M24))</f>
        <v>4.2558541627625118E-4</v>
      </c>
      <c r="AY24" s="15">
        <f t="shared" si="0"/>
        <v>9.4852672065763631E-4</v>
      </c>
    </row>
    <row r="25" spans="1:51" x14ac:dyDescent="0.4">
      <c r="A25" s="13" t="s">
        <v>100</v>
      </c>
      <c r="B25" s="13">
        <v>24</v>
      </c>
      <c r="C25" s="22" t="s">
        <v>204</v>
      </c>
      <c r="D25" s="22"/>
      <c r="E25" s="22" t="s">
        <v>202</v>
      </c>
      <c r="F25" s="22" t="s">
        <v>129</v>
      </c>
      <c r="G25" s="23">
        <v>74115</v>
      </c>
      <c r="K25" s="22">
        <v>1128410</v>
      </c>
      <c r="L25" s="22">
        <v>200000</v>
      </c>
      <c r="M25" s="22">
        <v>0</v>
      </c>
      <c r="N25" s="24">
        <v>18264</v>
      </c>
      <c r="O25" s="22"/>
      <c r="P25" s="22">
        <v>24600</v>
      </c>
      <c r="Q25" s="22">
        <v>1</v>
      </c>
      <c r="R25" s="22" t="s">
        <v>75</v>
      </c>
      <c r="T25" s="22" t="s">
        <v>203</v>
      </c>
      <c r="U25" s="13" t="s">
        <v>176</v>
      </c>
      <c r="V25" s="13" t="s">
        <v>147</v>
      </c>
      <c r="W25" s="13" t="s">
        <v>148</v>
      </c>
      <c r="X25" s="13" t="s">
        <v>54</v>
      </c>
      <c r="Y25" s="13" t="s">
        <v>54</v>
      </c>
      <c r="Z25" s="13" t="s">
        <v>56</v>
      </c>
      <c r="AA25" s="13" t="s">
        <v>57</v>
      </c>
      <c r="AB25" s="13" t="s">
        <v>54</v>
      </c>
      <c r="AC25" s="13" t="s">
        <v>58</v>
      </c>
      <c r="AD25" s="25">
        <v>42005</v>
      </c>
      <c r="AE25" s="13" t="s">
        <v>54</v>
      </c>
      <c r="AF25" s="25">
        <v>42005</v>
      </c>
      <c r="AG25" s="13" t="s">
        <v>59</v>
      </c>
      <c r="AH25" s="13" t="s">
        <v>60</v>
      </c>
      <c r="AI25" s="13" t="s">
        <v>59</v>
      </c>
      <c r="AJ25" s="13" t="s">
        <v>54</v>
      </c>
      <c r="AK25" s="13" t="s">
        <v>54</v>
      </c>
      <c r="AL25" s="13" t="s">
        <v>149</v>
      </c>
      <c r="AN25" s="13">
        <v>5</v>
      </c>
      <c r="AS25" s="13" t="s">
        <v>154</v>
      </c>
      <c r="AT25" s="13" t="s">
        <v>61</v>
      </c>
      <c r="AU25" s="13" t="s">
        <v>62</v>
      </c>
      <c r="AV25" s="13" t="s">
        <v>63</v>
      </c>
      <c r="AW25" s="15">
        <f>SUM((('[1]Policy Test Cases'!$G$83+'[1]Policy Test Cases'!$G$84+'[1]Policy Test Cases'!$G$85+'[1]Policy Test Cases'!$G$86+'[1]Policy Test Cases'!$G$87+'[1]Policy Test Cases'!$G$89)/'[1]Policy Test Cases'!$G$55)*('[1]SOV 3'!K25+'[1]SOV 3'!L25+'[1]SOV 3'!M25))</f>
        <v>694.68045815327571</v>
      </c>
      <c r="AX25" s="15">
        <f>(('[1]Policy Test Cases'!$G$88/'[1]Policy Test Cases'!$G$55)*('[1]SOV 3'!K25+'[1]SOV 3'!L25+'[1]SOV 3'!M25))</f>
        <v>565.35192283553488</v>
      </c>
      <c r="AY25" s="15">
        <f t="shared" si="0"/>
        <v>1260.0323809888105</v>
      </c>
    </row>
    <row r="26" spans="1:51" x14ac:dyDescent="0.4">
      <c r="A26" s="13" t="s">
        <v>205</v>
      </c>
      <c r="B26" s="13">
        <v>25</v>
      </c>
      <c r="C26" s="22" t="s">
        <v>204</v>
      </c>
      <c r="D26" s="22"/>
      <c r="E26" s="22" t="s">
        <v>202</v>
      </c>
      <c r="F26" s="22" t="s">
        <v>129</v>
      </c>
      <c r="G26" s="23">
        <v>74115</v>
      </c>
      <c r="K26" s="22">
        <v>1</v>
      </c>
      <c r="L26" s="22">
        <v>0</v>
      </c>
      <c r="M26" s="22">
        <v>0</v>
      </c>
      <c r="N26" s="24">
        <v>29221</v>
      </c>
      <c r="O26" s="22"/>
      <c r="P26" s="22">
        <v>3405</v>
      </c>
      <c r="Q26" s="22">
        <v>1</v>
      </c>
      <c r="R26" s="22" t="s">
        <v>75</v>
      </c>
      <c r="T26" s="22" t="s">
        <v>203</v>
      </c>
      <c r="U26" s="13" t="s">
        <v>146</v>
      </c>
      <c r="V26" s="13" t="s">
        <v>147</v>
      </c>
      <c r="W26" s="13" t="s">
        <v>148</v>
      </c>
      <c r="X26" s="13" t="s">
        <v>54</v>
      </c>
      <c r="Y26" s="13" t="s">
        <v>55</v>
      </c>
      <c r="Z26" s="13" t="s">
        <v>56</v>
      </c>
      <c r="AA26" s="13" t="s">
        <v>57</v>
      </c>
      <c r="AB26" s="13" t="s">
        <v>54</v>
      </c>
      <c r="AC26" s="13" t="s">
        <v>88</v>
      </c>
      <c r="AD26" s="14"/>
      <c r="AE26" s="13" t="s">
        <v>54</v>
      </c>
      <c r="AF26" s="14"/>
      <c r="AG26" s="13" t="s">
        <v>59</v>
      </c>
      <c r="AH26" s="13" t="s">
        <v>60</v>
      </c>
      <c r="AI26" s="13" t="s">
        <v>59</v>
      </c>
      <c r="AJ26" s="13" t="s">
        <v>54</v>
      </c>
      <c r="AK26" s="13" t="s">
        <v>54</v>
      </c>
      <c r="AL26" s="13" t="s">
        <v>149</v>
      </c>
      <c r="AN26" s="13">
        <v>5</v>
      </c>
      <c r="AS26" s="13" t="s">
        <v>100</v>
      </c>
      <c r="AT26" s="13" t="s">
        <v>61</v>
      </c>
      <c r="AU26" s="13" t="s">
        <v>62</v>
      </c>
      <c r="AV26" s="13" t="s">
        <v>63</v>
      </c>
      <c r="AW26" s="15">
        <f>SUM((('[1]Policy Test Cases'!$G$83+'[1]Policy Test Cases'!$G$84+'[1]Policy Test Cases'!$G$85+'[1]Policy Test Cases'!$G$86+'[1]Policy Test Cases'!$G$87+'[1]Policy Test Cases'!$G$89)/'[1]Policy Test Cases'!$G$55)*('[1]SOV 3'!K26+'[1]SOV 3'!L26+'[1]SOV 3'!M26))</f>
        <v>5.2294130438138508E-4</v>
      </c>
      <c r="AX26" s="15">
        <f>(('[1]Policy Test Cases'!$G$88/'[1]Policy Test Cases'!$G$55)*('[1]SOV 3'!K26+'[1]SOV 3'!L26+'[1]SOV 3'!M26))</f>
        <v>4.2558541627625118E-4</v>
      </c>
      <c r="AY26" s="15">
        <f t="shared" si="0"/>
        <v>9.4852672065763631E-4</v>
      </c>
    </row>
    <row r="27" spans="1:51" x14ac:dyDescent="0.4">
      <c r="A27" s="13" t="s">
        <v>206</v>
      </c>
      <c r="B27" s="13">
        <v>26</v>
      </c>
      <c r="C27" s="22" t="s">
        <v>207</v>
      </c>
      <c r="D27" s="22"/>
      <c r="E27" s="22" t="s">
        <v>202</v>
      </c>
      <c r="F27" s="22" t="s">
        <v>129</v>
      </c>
      <c r="G27" s="23">
        <v>74115</v>
      </c>
      <c r="K27" s="22">
        <v>1625000</v>
      </c>
      <c r="L27" s="22">
        <v>1000000</v>
      </c>
      <c r="M27" s="22">
        <v>0</v>
      </c>
      <c r="N27" s="24">
        <v>18264</v>
      </c>
      <c r="O27" s="22"/>
      <c r="P27" s="22">
        <v>21812</v>
      </c>
      <c r="Q27" s="22">
        <v>1</v>
      </c>
      <c r="R27" s="22" t="s">
        <v>75</v>
      </c>
      <c r="T27" s="22" t="s">
        <v>203</v>
      </c>
      <c r="U27" s="13" t="s">
        <v>176</v>
      </c>
      <c r="V27" s="13" t="s">
        <v>147</v>
      </c>
      <c r="W27" s="13" t="s">
        <v>148</v>
      </c>
      <c r="X27" s="13" t="s">
        <v>54</v>
      </c>
      <c r="Y27" s="13" t="s">
        <v>55</v>
      </c>
      <c r="Z27" s="13" t="s">
        <v>56</v>
      </c>
      <c r="AA27" s="13" t="s">
        <v>57</v>
      </c>
      <c r="AB27" s="13" t="s">
        <v>54</v>
      </c>
      <c r="AC27" s="13" t="s">
        <v>88</v>
      </c>
      <c r="AD27" s="25">
        <v>36526</v>
      </c>
      <c r="AE27" s="13" t="s">
        <v>54</v>
      </c>
      <c r="AF27" s="25">
        <v>36526</v>
      </c>
      <c r="AG27" s="13" t="s">
        <v>59</v>
      </c>
      <c r="AH27" s="13" t="s">
        <v>60</v>
      </c>
      <c r="AI27" s="13" t="s">
        <v>59</v>
      </c>
      <c r="AJ27" s="13" t="s">
        <v>54</v>
      </c>
      <c r="AK27" s="13" t="s">
        <v>54</v>
      </c>
      <c r="AL27" s="13" t="s">
        <v>163</v>
      </c>
      <c r="AN27" s="13">
        <v>4</v>
      </c>
      <c r="AS27" s="13" t="s">
        <v>164</v>
      </c>
      <c r="AT27" s="13" t="s">
        <v>61</v>
      </c>
      <c r="AU27" s="13" t="s">
        <v>62</v>
      </c>
      <c r="AV27" s="13" t="s">
        <v>63</v>
      </c>
      <c r="AW27" s="15">
        <f>SUM((('[1]Policy Test Cases'!$G$83+'[1]Policy Test Cases'!$G$84+'[1]Policy Test Cases'!$G$85+'[1]Policy Test Cases'!$G$86+'[1]Policy Test Cases'!$G$87+'[1]Policy Test Cases'!$G$89)/'[1]Policy Test Cases'!$G$55)*('[1]SOV 3'!K27+'[1]SOV 3'!L27+'[1]SOV 3'!M27))</f>
        <v>1372.7209240011359</v>
      </c>
      <c r="AX27" s="15">
        <f>(('[1]Policy Test Cases'!$G$88/'[1]Policy Test Cases'!$G$55)*('[1]SOV 3'!K27+'[1]SOV 3'!L27+'[1]SOV 3'!M27))</f>
        <v>1117.1617177251594</v>
      </c>
      <c r="AY27" s="15">
        <f t="shared" si="0"/>
        <v>2489.8826417262953</v>
      </c>
    </row>
    <row r="28" spans="1:51" x14ac:dyDescent="0.4">
      <c r="A28" s="13" t="s">
        <v>208</v>
      </c>
      <c r="B28" s="13">
        <v>27</v>
      </c>
      <c r="C28" s="22" t="s">
        <v>209</v>
      </c>
      <c r="D28" s="22"/>
      <c r="E28" s="22" t="s">
        <v>210</v>
      </c>
      <c r="F28" s="22" t="s">
        <v>87</v>
      </c>
      <c r="G28" s="23">
        <v>76177</v>
      </c>
      <c r="K28" s="22">
        <v>0</v>
      </c>
      <c r="L28" s="22">
        <v>750000</v>
      </c>
      <c r="M28" s="22">
        <v>0</v>
      </c>
      <c r="N28" s="24"/>
      <c r="O28" s="22"/>
      <c r="P28" s="22">
        <v>30000</v>
      </c>
      <c r="Q28" s="22">
        <v>1</v>
      </c>
      <c r="R28" s="22" t="s">
        <v>75</v>
      </c>
      <c r="T28" s="22" t="s">
        <v>158</v>
      </c>
      <c r="U28" s="13" t="s">
        <v>146</v>
      </c>
      <c r="V28" s="13" t="s">
        <v>147</v>
      </c>
      <c r="W28" s="13" t="s">
        <v>148</v>
      </c>
      <c r="X28" s="13" t="s">
        <v>54</v>
      </c>
      <c r="Y28" s="13" t="s">
        <v>55</v>
      </c>
      <c r="Z28" s="13" t="s">
        <v>56</v>
      </c>
      <c r="AA28" s="13" t="s">
        <v>57</v>
      </c>
      <c r="AB28" s="13" t="s">
        <v>54</v>
      </c>
      <c r="AC28" s="13" t="s">
        <v>58</v>
      </c>
      <c r="AE28" s="13" t="s">
        <v>54</v>
      </c>
      <c r="AG28" s="13" t="s">
        <v>59</v>
      </c>
      <c r="AH28" s="13" t="s">
        <v>60</v>
      </c>
      <c r="AI28" s="13" t="s">
        <v>59</v>
      </c>
      <c r="AJ28" s="13" t="s">
        <v>54</v>
      </c>
      <c r="AK28" s="13" t="s">
        <v>54</v>
      </c>
      <c r="AL28" s="13" t="s">
        <v>149</v>
      </c>
      <c r="AN28" s="13">
        <v>6</v>
      </c>
      <c r="AS28" s="13" t="s">
        <v>164</v>
      </c>
      <c r="AT28" s="13" t="s">
        <v>61</v>
      </c>
      <c r="AU28" s="13" t="s">
        <v>62</v>
      </c>
      <c r="AV28" s="13" t="s">
        <v>63</v>
      </c>
      <c r="AW28" s="15">
        <f>SUM((('[1]Policy Test Cases'!$G$83+'[1]Policy Test Cases'!$G$84+'[1]Policy Test Cases'!$G$85+'[1]Policy Test Cases'!$G$86+'[1]Policy Test Cases'!$G$87+'[1]Policy Test Cases'!$G$89)/'[1]Policy Test Cases'!$G$55)*('[1]SOV 3'!K28+'[1]SOV 3'!L28+'[1]SOV 3'!M28))</f>
        <v>392.20597828603883</v>
      </c>
      <c r="AX28" s="15">
        <f>(('[1]Policy Test Cases'!$G$88/'[1]Policy Test Cases'!$G$55)*('[1]SOV 3'!K28+'[1]SOV 3'!L28+'[1]SOV 3'!M28))</f>
        <v>319.18906220718839</v>
      </c>
      <c r="AY28" s="15">
        <f t="shared" si="0"/>
        <v>711.39504049322727</v>
      </c>
    </row>
    <row r="29" spans="1:51" x14ac:dyDescent="0.4">
      <c r="A29" s="13" t="s">
        <v>211</v>
      </c>
      <c r="B29" s="13">
        <v>28</v>
      </c>
      <c r="C29" s="22" t="s">
        <v>212</v>
      </c>
      <c r="D29" s="22"/>
      <c r="E29" s="22" t="s">
        <v>210</v>
      </c>
      <c r="F29" s="22" t="s">
        <v>87</v>
      </c>
      <c r="G29" s="23">
        <v>76177</v>
      </c>
      <c r="K29" s="22">
        <v>0</v>
      </c>
      <c r="L29" s="22">
        <v>100000</v>
      </c>
      <c r="M29" s="22">
        <v>0</v>
      </c>
      <c r="N29" s="24"/>
      <c r="O29" s="22"/>
      <c r="P29" s="22">
        <v>8631</v>
      </c>
      <c r="Q29" s="22">
        <v>1</v>
      </c>
      <c r="R29" s="22" t="s">
        <v>75</v>
      </c>
      <c r="T29" s="22" t="s">
        <v>172</v>
      </c>
      <c r="U29" s="13" t="s">
        <v>146</v>
      </c>
      <c r="V29" s="13" t="s">
        <v>147</v>
      </c>
      <c r="W29" s="13" t="s">
        <v>148</v>
      </c>
      <c r="X29" s="13" t="s">
        <v>54</v>
      </c>
      <c r="Y29" s="13" t="s">
        <v>55</v>
      </c>
      <c r="Z29" s="13" t="s">
        <v>56</v>
      </c>
      <c r="AA29" s="13" t="s">
        <v>57</v>
      </c>
      <c r="AB29" s="13" t="s">
        <v>54</v>
      </c>
      <c r="AC29" s="13" t="s">
        <v>88</v>
      </c>
      <c r="AE29" s="13" t="s">
        <v>54</v>
      </c>
      <c r="AG29" s="13" t="s">
        <v>59</v>
      </c>
      <c r="AH29" s="13" t="s">
        <v>60</v>
      </c>
      <c r="AI29" s="13" t="s">
        <v>59</v>
      </c>
      <c r="AJ29" s="13" t="s">
        <v>54</v>
      </c>
      <c r="AK29" s="13" t="s">
        <v>54</v>
      </c>
      <c r="AL29" s="13" t="s">
        <v>163</v>
      </c>
      <c r="AN29" s="13">
        <v>1</v>
      </c>
      <c r="AS29" s="13" t="s">
        <v>100</v>
      </c>
      <c r="AT29" s="13" t="s">
        <v>61</v>
      </c>
      <c r="AU29" s="13" t="s">
        <v>62</v>
      </c>
      <c r="AV29" s="13" t="s">
        <v>63</v>
      </c>
      <c r="AW29" s="15">
        <f>SUM((('[1]Policy Test Cases'!$G$83+'[1]Policy Test Cases'!$G$84+'[1]Policy Test Cases'!$G$85+'[1]Policy Test Cases'!$G$86+'[1]Policy Test Cases'!$G$87+'[1]Policy Test Cases'!$G$89)/'[1]Policy Test Cases'!$G$55)*('[1]SOV 3'!K29+'[1]SOV 3'!L29+'[1]SOV 3'!M29))</f>
        <v>52.294130438138509</v>
      </c>
      <c r="AX29" s="15">
        <f>(('[1]Policy Test Cases'!$G$88/'[1]Policy Test Cases'!$G$55)*('[1]SOV 3'!K29+'[1]SOV 3'!L29+'[1]SOV 3'!M29))</f>
        <v>42.558541627625118</v>
      </c>
      <c r="AY29" s="15">
        <f t="shared" si="0"/>
        <v>94.852672065763628</v>
      </c>
    </row>
    <row r="30" spans="1:51" x14ac:dyDescent="0.4">
      <c r="A30" s="13" t="s">
        <v>213</v>
      </c>
      <c r="B30" s="13">
        <v>29</v>
      </c>
      <c r="C30" s="22" t="s">
        <v>214</v>
      </c>
      <c r="D30" s="22"/>
      <c r="E30" s="22" t="s">
        <v>215</v>
      </c>
      <c r="F30" s="22" t="s">
        <v>90</v>
      </c>
      <c r="G30" s="23">
        <v>20166</v>
      </c>
      <c r="K30" s="22">
        <v>0</v>
      </c>
      <c r="L30" s="22">
        <v>75000</v>
      </c>
      <c r="M30" s="22">
        <v>0</v>
      </c>
      <c r="N30" s="24"/>
      <c r="O30" s="22"/>
      <c r="P30" s="22"/>
      <c r="Q30" s="22">
        <v>1</v>
      </c>
      <c r="R30" s="22" t="s">
        <v>75</v>
      </c>
      <c r="T30" s="22" t="s">
        <v>158</v>
      </c>
      <c r="U30" s="13" t="s">
        <v>146</v>
      </c>
      <c r="V30" s="13" t="s">
        <v>147</v>
      </c>
      <c r="W30" s="13" t="s">
        <v>148</v>
      </c>
      <c r="X30" s="13" t="s">
        <v>54</v>
      </c>
      <c r="Y30" s="13" t="s">
        <v>55</v>
      </c>
      <c r="Z30" s="13" t="s">
        <v>56</v>
      </c>
      <c r="AA30" s="13" t="s">
        <v>57</v>
      </c>
      <c r="AB30" s="13" t="s">
        <v>54</v>
      </c>
      <c r="AC30" s="13" t="s">
        <v>58</v>
      </c>
      <c r="AE30" s="13" t="s">
        <v>54</v>
      </c>
      <c r="AG30" s="13" t="s">
        <v>59</v>
      </c>
      <c r="AH30" s="13" t="s">
        <v>60</v>
      </c>
      <c r="AI30" s="13" t="s">
        <v>59</v>
      </c>
      <c r="AJ30" s="13" t="s">
        <v>54</v>
      </c>
      <c r="AK30" s="13" t="s">
        <v>54</v>
      </c>
      <c r="AL30" s="13" t="s">
        <v>173</v>
      </c>
      <c r="AN30" s="13">
        <v>2</v>
      </c>
      <c r="AS30" s="13" t="s">
        <v>100</v>
      </c>
      <c r="AT30" s="13" t="s">
        <v>61</v>
      </c>
      <c r="AU30" s="13" t="s">
        <v>62</v>
      </c>
      <c r="AV30" s="13" t="s">
        <v>63</v>
      </c>
      <c r="AW30" s="15">
        <f>SUM((('[1]Policy Test Cases'!$G$83+'[1]Policy Test Cases'!$G$84+'[1]Policy Test Cases'!$G$85+'[1]Policy Test Cases'!$G$86+'[1]Policy Test Cases'!$G$87+'[1]Policy Test Cases'!$G$89)/'[1]Policy Test Cases'!$G$55)*('[1]SOV 3'!K30+'[1]SOV 3'!L30+'[1]SOV 3'!M30))</f>
        <v>39.220597828603879</v>
      </c>
      <c r="AX30" s="15">
        <f>(('[1]Policy Test Cases'!$G$88/'[1]Policy Test Cases'!$G$55)*('[1]SOV 3'!K30+'[1]SOV 3'!L30+'[1]SOV 3'!M30))</f>
        <v>31.918906220718839</v>
      </c>
      <c r="AY30" s="15">
        <f t="shared" si="0"/>
        <v>71.13950404932271</v>
      </c>
    </row>
    <row r="31" spans="1:51" x14ac:dyDescent="0.4">
      <c r="A31" s="13" t="s">
        <v>216</v>
      </c>
      <c r="B31" s="13">
        <v>30</v>
      </c>
      <c r="C31" s="22" t="s">
        <v>217</v>
      </c>
      <c r="D31" s="22"/>
      <c r="E31" s="22" t="s">
        <v>218</v>
      </c>
      <c r="F31" s="22" t="s">
        <v>138</v>
      </c>
      <c r="G31" s="23">
        <v>98158</v>
      </c>
      <c r="K31" s="22">
        <v>0</v>
      </c>
      <c r="L31" s="22">
        <v>75000</v>
      </c>
      <c r="M31" s="22">
        <v>0</v>
      </c>
      <c r="N31" s="24"/>
      <c r="O31" s="22"/>
      <c r="P31" s="22">
        <v>7676</v>
      </c>
      <c r="Q31" s="22">
        <v>1</v>
      </c>
      <c r="R31" s="22" t="s">
        <v>75</v>
      </c>
      <c r="T31" s="22" t="s">
        <v>158</v>
      </c>
      <c r="U31" s="13" t="s">
        <v>146</v>
      </c>
      <c r="V31" s="13" t="s">
        <v>147</v>
      </c>
      <c r="W31" s="13" t="s">
        <v>148</v>
      </c>
      <c r="X31" s="13" t="s">
        <v>54</v>
      </c>
      <c r="Y31" s="13" t="s">
        <v>55</v>
      </c>
      <c r="Z31" s="13" t="s">
        <v>56</v>
      </c>
      <c r="AA31" s="13" t="s">
        <v>57</v>
      </c>
      <c r="AB31" s="13" t="s">
        <v>54</v>
      </c>
      <c r="AC31" s="13" t="s">
        <v>58</v>
      </c>
      <c r="AE31" s="13" t="s">
        <v>54</v>
      </c>
      <c r="AG31" s="13" t="s">
        <v>59</v>
      </c>
      <c r="AH31" s="13" t="s">
        <v>60</v>
      </c>
      <c r="AI31" s="13" t="s">
        <v>59</v>
      </c>
      <c r="AJ31" s="13" t="s">
        <v>54</v>
      </c>
      <c r="AK31" s="13" t="s">
        <v>54</v>
      </c>
      <c r="AL31" s="13" t="s">
        <v>149</v>
      </c>
      <c r="AN31" s="13">
        <v>4</v>
      </c>
      <c r="AS31" s="13" t="s">
        <v>164</v>
      </c>
      <c r="AT31" s="13" t="s">
        <v>61</v>
      </c>
      <c r="AU31" s="13" t="s">
        <v>62</v>
      </c>
      <c r="AV31" s="13" t="s">
        <v>63</v>
      </c>
      <c r="AW31" s="15">
        <f>SUM((('[1]Policy Test Cases'!$G$83+'[1]Policy Test Cases'!$G$84+'[1]Policy Test Cases'!$G$85+'[1]Policy Test Cases'!$G$86+'[1]Policy Test Cases'!$G$87+'[1]Policy Test Cases'!$G$89)/'[1]Policy Test Cases'!$G$55)*('[1]SOV 3'!K31+'[1]SOV 3'!L31+'[1]SOV 3'!M31))</f>
        <v>39.220597828603879</v>
      </c>
      <c r="AX31" s="15">
        <f>(('[1]Policy Test Cases'!$G$88/'[1]Policy Test Cases'!$G$55)*('[1]SOV 3'!K31+'[1]SOV 3'!L31+'[1]SOV 3'!M31))</f>
        <v>31.918906220718839</v>
      </c>
      <c r="AY31" s="15">
        <f t="shared" si="0"/>
        <v>71.13950404932271</v>
      </c>
    </row>
    <row r="32" spans="1:51" x14ac:dyDescent="0.4">
      <c r="A32" s="13" t="s">
        <v>154</v>
      </c>
      <c r="B32" s="13">
        <v>31</v>
      </c>
      <c r="C32" s="22" t="s">
        <v>219</v>
      </c>
      <c r="D32" s="22" t="s">
        <v>220</v>
      </c>
      <c r="E32" s="22" t="s">
        <v>221</v>
      </c>
      <c r="F32" s="22" t="s">
        <v>52</v>
      </c>
      <c r="G32" s="23">
        <v>36106</v>
      </c>
      <c r="K32" s="22">
        <v>428274</v>
      </c>
      <c r="L32" s="22">
        <v>0</v>
      </c>
      <c r="M32" s="22">
        <v>0</v>
      </c>
      <c r="N32" s="24"/>
      <c r="O32" s="22"/>
      <c r="P32" s="22"/>
      <c r="Q32" s="22">
        <v>1</v>
      </c>
      <c r="R32" s="22" t="s">
        <v>54</v>
      </c>
      <c r="T32" s="22" t="s">
        <v>54</v>
      </c>
      <c r="U32" s="13" t="s">
        <v>176</v>
      </c>
      <c r="V32" s="13" t="s">
        <v>147</v>
      </c>
      <c r="W32" s="13" t="s">
        <v>148</v>
      </c>
      <c r="X32" s="13" t="s">
        <v>54</v>
      </c>
      <c r="Y32" s="13" t="s">
        <v>54</v>
      </c>
      <c r="Z32" s="13" t="s">
        <v>56</v>
      </c>
      <c r="AA32" s="13" t="s">
        <v>57</v>
      </c>
      <c r="AB32" s="13" t="s">
        <v>54</v>
      </c>
      <c r="AC32" s="13" t="s">
        <v>58</v>
      </c>
      <c r="AE32" s="13" t="s">
        <v>54</v>
      </c>
      <c r="AG32" s="13" t="s">
        <v>59</v>
      </c>
      <c r="AH32" s="13" t="s">
        <v>60</v>
      </c>
      <c r="AI32" s="13" t="s">
        <v>59</v>
      </c>
      <c r="AJ32" s="13" t="s">
        <v>54</v>
      </c>
      <c r="AK32" s="13" t="s">
        <v>54</v>
      </c>
      <c r="AL32" s="13" t="s">
        <v>149</v>
      </c>
      <c r="AN32" s="13">
        <v>6</v>
      </c>
      <c r="AS32" s="13" t="s">
        <v>179</v>
      </c>
      <c r="AT32" s="13" t="s">
        <v>61</v>
      </c>
      <c r="AU32" s="13" t="s">
        <v>62</v>
      </c>
      <c r="AV32" s="13" t="s">
        <v>63</v>
      </c>
      <c r="AW32" s="15">
        <f>SUM((('[1]Policy Test Cases'!$G$83+'[1]Policy Test Cases'!$G$84+'[1]Policy Test Cases'!$G$85+'[1]Policy Test Cases'!$G$86+'[1]Policy Test Cases'!$G$87+'[1]Policy Test Cases'!$G$89)/'[1]Policy Test Cases'!$G$55)*('[1]SOV 3'!K32+'[1]SOV 3'!L32+'[1]SOV 3'!M32))</f>
        <v>223.96216419263331</v>
      </c>
      <c r="AX32" s="15">
        <f>(('[1]Policy Test Cases'!$G$88/'[1]Policy Test Cases'!$G$55)*('[1]SOV 3'!K32+'[1]SOV 3'!L32+'[1]SOV 3'!M32))</f>
        <v>182.26716857029521</v>
      </c>
      <c r="AY32" s="15">
        <f t="shared" si="0"/>
        <v>406.22933276292849</v>
      </c>
    </row>
    <row r="33" spans="1:51" x14ac:dyDescent="0.4">
      <c r="A33" s="13" t="s">
        <v>222</v>
      </c>
      <c r="B33" s="13">
        <v>32</v>
      </c>
      <c r="C33" s="22" t="s">
        <v>223</v>
      </c>
      <c r="D33" s="22" t="s">
        <v>224</v>
      </c>
      <c r="E33" s="22" t="s">
        <v>225</v>
      </c>
      <c r="F33" s="22" t="s">
        <v>52</v>
      </c>
      <c r="G33" s="23">
        <v>36732</v>
      </c>
      <c r="K33" s="22">
        <v>1545000</v>
      </c>
      <c r="L33" s="22">
        <v>0</v>
      </c>
      <c r="M33" s="22">
        <v>100000</v>
      </c>
      <c r="N33" s="24"/>
      <c r="O33" s="22"/>
      <c r="P33" s="22"/>
      <c r="Q33" s="22">
        <v>1</v>
      </c>
      <c r="R33" s="22" t="s">
        <v>54</v>
      </c>
      <c r="T33" s="22" t="s">
        <v>54</v>
      </c>
      <c r="U33" s="13" t="s">
        <v>176</v>
      </c>
      <c r="V33" s="13" t="s">
        <v>147</v>
      </c>
      <c r="W33" s="13" t="s">
        <v>148</v>
      </c>
      <c r="X33" s="13" t="s">
        <v>54</v>
      </c>
      <c r="Y33" s="13" t="s">
        <v>54</v>
      </c>
      <c r="Z33" s="13" t="s">
        <v>56</v>
      </c>
      <c r="AA33" s="13" t="s">
        <v>54</v>
      </c>
      <c r="AB33" s="13" t="s">
        <v>54</v>
      </c>
      <c r="AC33" s="13" t="s">
        <v>58</v>
      </c>
      <c r="AE33" s="13" t="s">
        <v>54</v>
      </c>
      <c r="AG33" s="13" t="s">
        <v>59</v>
      </c>
      <c r="AH33" s="13" t="s">
        <v>60</v>
      </c>
      <c r="AI33" s="13" t="s">
        <v>59</v>
      </c>
      <c r="AJ33" s="13" t="s">
        <v>54</v>
      </c>
      <c r="AK33" s="13" t="s">
        <v>54</v>
      </c>
      <c r="AL33" s="13" t="s">
        <v>173</v>
      </c>
      <c r="AN33" s="13">
        <v>3</v>
      </c>
      <c r="AS33" s="13" t="s">
        <v>100</v>
      </c>
      <c r="AT33" s="13" t="s">
        <v>61</v>
      </c>
      <c r="AU33" s="13" t="s">
        <v>62</v>
      </c>
      <c r="AV33" s="13" t="s">
        <v>63</v>
      </c>
      <c r="AW33" s="15">
        <f>SUM((('[1]Policy Test Cases'!$G$83+'[1]Policy Test Cases'!$G$84+'[1]Policy Test Cases'!$G$85+'[1]Policy Test Cases'!$G$86+'[1]Policy Test Cases'!$G$87+'[1]Policy Test Cases'!$G$89)/'[1]Policy Test Cases'!$G$55)*('[1]SOV 3'!K33+'[1]SOV 3'!L33+'[1]SOV 3'!M33))</f>
        <v>860.23844570737845</v>
      </c>
      <c r="AX33" s="15">
        <f>(('[1]Policy Test Cases'!$G$88/'[1]Policy Test Cases'!$G$55)*('[1]SOV 3'!K33+'[1]SOV 3'!L33+'[1]SOV 3'!M33))</f>
        <v>700.0880097744332</v>
      </c>
      <c r="AY33" s="15">
        <f t="shared" si="0"/>
        <v>1560.3264554818115</v>
      </c>
    </row>
    <row r="34" spans="1:51" x14ac:dyDescent="0.4">
      <c r="A34" s="13" t="s">
        <v>226</v>
      </c>
      <c r="B34" s="13">
        <v>33</v>
      </c>
      <c r="C34" s="22" t="s">
        <v>227</v>
      </c>
      <c r="D34" s="22" t="s">
        <v>228</v>
      </c>
      <c r="E34" s="22" t="s">
        <v>229</v>
      </c>
      <c r="F34" s="22" t="s">
        <v>52</v>
      </c>
      <c r="G34" s="23">
        <v>36695</v>
      </c>
      <c r="K34" s="22">
        <v>382388</v>
      </c>
      <c r="L34" s="22">
        <v>0</v>
      </c>
      <c r="M34" s="22">
        <v>0</v>
      </c>
      <c r="N34" s="24"/>
      <c r="O34" s="22"/>
      <c r="P34" s="22"/>
      <c r="Q34" s="22">
        <v>1</v>
      </c>
      <c r="R34" s="22" t="s">
        <v>54</v>
      </c>
      <c r="T34" s="22" t="s">
        <v>54</v>
      </c>
      <c r="U34" s="13" t="s">
        <v>176</v>
      </c>
      <c r="V34" s="13" t="s">
        <v>147</v>
      </c>
      <c r="W34" s="13" t="s">
        <v>148</v>
      </c>
      <c r="X34" s="13" t="s">
        <v>54</v>
      </c>
      <c r="Y34" s="13" t="s">
        <v>54</v>
      </c>
      <c r="Z34" s="13" t="s">
        <v>56</v>
      </c>
      <c r="AA34" s="13" t="s">
        <v>54</v>
      </c>
      <c r="AB34" s="13" t="s">
        <v>54</v>
      </c>
      <c r="AC34" s="13" t="s">
        <v>58</v>
      </c>
      <c r="AE34" s="13" t="s">
        <v>54</v>
      </c>
      <c r="AG34" s="13" t="s">
        <v>59</v>
      </c>
      <c r="AH34" s="13" t="s">
        <v>60</v>
      </c>
      <c r="AI34" s="13" t="s">
        <v>59</v>
      </c>
      <c r="AJ34" s="13" t="s">
        <v>54</v>
      </c>
      <c r="AK34" s="13" t="s">
        <v>54</v>
      </c>
      <c r="AL34" s="13" t="s">
        <v>163</v>
      </c>
      <c r="AN34" s="13">
        <v>1</v>
      </c>
      <c r="AS34" s="13" t="s">
        <v>100</v>
      </c>
      <c r="AT34" s="13" t="s">
        <v>61</v>
      </c>
      <c r="AU34" s="13" t="s">
        <v>62</v>
      </c>
      <c r="AV34" s="13" t="s">
        <v>63</v>
      </c>
      <c r="AW34" s="15">
        <f>SUM((('[1]Policy Test Cases'!$G$83+'[1]Policy Test Cases'!$G$84+'[1]Policy Test Cases'!$G$85+'[1]Policy Test Cases'!$G$86+'[1]Policy Test Cases'!$G$87+'[1]Policy Test Cases'!$G$89)/'[1]Policy Test Cases'!$G$55)*('[1]SOV 3'!K34+'[1]SOV 3'!L34+'[1]SOV 3'!M34))</f>
        <v>199.96647949978907</v>
      </c>
      <c r="AX34" s="15">
        <f>(('[1]Policy Test Cases'!$G$88/'[1]Policy Test Cases'!$G$55)*('[1]SOV 3'!K34+'[1]SOV 3'!L34+'[1]SOV 3'!M34))</f>
        <v>162.73875615904313</v>
      </c>
      <c r="AY34" s="15">
        <f t="shared" si="0"/>
        <v>362.70523565883218</v>
      </c>
    </row>
    <row r="35" spans="1:51" x14ac:dyDescent="0.4">
      <c r="A35" s="13" t="s">
        <v>179</v>
      </c>
      <c r="B35" s="13">
        <v>34</v>
      </c>
      <c r="C35" s="22" t="s">
        <v>230</v>
      </c>
      <c r="D35" s="22" t="s">
        <v>231</v>
      </c>
      <c r="E35" s="22" t="s">
        <v>232</v>
      </c>
      <c r="F35" s="22" t="s">
        <v>52</v>
      </c>
      <c r="G35" s="23">
        <v>36116</v>
      </c>
      <c r="K35" s="22">
        <v>23525</v>
      </c>
      <c r="L35" s="22">
        <v>0</v>
      </c>
      <c r="M35" s="22">
        <v>0</v>
      </c>
      <c r="N35" s="24"/>
      <c r="O35" s="22"/>
      <c r="P35" s="22"/>
      <c r="Q35" s="22">
        <v>1</v>
      </c>
      <c r="R35" s="22" t="s">
        <v>54</v>
      </c>
      <c r="T35" s="22" t="s">
        <v>54</v>
      </c>
      <c r="U35" s="13" t="s">
        <v>176</v>
      </c>
      <c r="V35" s="13" t="s">
        <v>147</v>
      </c>
      <c r="W35" s="13" t="s">
        <v>148</v>
      </c>
      <c r="X35" s="13" t="s">
        <v>54</v>
      </c>
      <c r="Y35" s="13" t="s">
        <v>54</v>
      </c>
      <c r="Z35" s="13" t="s">
        <v>56</v>
      </c>
      <c r="AA35" s="13" t="s">
        <v>54</v>
      </c>
      <c r="AB35" s="13" t="s">
        <v>54</v>
      </c>
      <c r="AC35" s="13" t="s">
        <v>58</v>
      </c>
      <c r="AE35" s="13" t="s">
        <v>54</v>
      </c>
      <c r="AG35" s="13" t="s">
        <v>59</v>
      </c>
      <c r="AH35" s="13" t="s">
        <v>60</v>
      </c>
      <c r="AI35" s="13" t="s">
        <v>59</v>
      </c>
      <c r="AJ35" s="13" t="s">
        <v>54</v>
      </c>
      <c r="AK35" s="13" t="s">
        <v>54</v>
      </c>
      <c r="AL35" s="13" t="s">
        <v>149</v>
      </c>
      <c r="AN35" s="13">
        <v>5</v>
      </c>
      <c r="AS35" s="13" t="s">
        <v>100</v>
      </c>
      <c r="AT35" s="13" t="s">
        <v>61</v>
      </c>
      <c r="AU35" s="13" t="s">
        <v>62</v>
      </c>
      <c r="AV35" s="13" t="s">
        <v>63</v>
      </c>
      <c r="AW35" s="15">
        <f>SUM((('[1]Policy Test Cases'!$G$83+'[1]Policy Test Cases'!$G$84+'[1]Policy Test Cases'!$G$85+'[1]Policy Test Cases'!$G$86+'[1]Policy Test Cases'!$G$87+'[1]Policy Test Cases'!$G$89)/'[1]Policy Test Cases'!$G$55)*('[1]SOV 3'!K35+'[1]SOV 3'!L35+'[1]SOV 3'!M35))</f>
        <v>12.302194185572084</v>
      </c>
      <c r="AX35" s="15">
        <f>(('[1]Policy Test Cases'!$G$88/'[1]Policy Test Cases'!$G$55)*('[1]SOV 3'!K35+'[1]SOV 3'!L35+'[1]SOV 3'!M35))</f>
        <v>10.01189691789881</v>
      </c>
      <c r="AY35" s="15">
        <f t="shared" si="0"/>
        <v>22.314091103470894</v>
      </c>
    </row>
    <row r="36" spans="1:51" x14ac:dyDescent="0.4">
      <c r="A36" s="13" t="s">
        <v>233</v>
      </c>
      <c r="B36" s="13">
        <v>35</v>
      </c>
      <c r="C36" s="22" t="s">
        <v>230</v>
      </c>
      <c r="D36" s="22" t="s">
        <v>234</v>
      </c>
      <c r="E36" s="22" t="s">
        <v>232</v>
      </c>
      <c r="F36" s="22" t="s">
        <v>52</v>
      </c>
      <c r="G36" s="23">
        <v>36116</v>
      </c>
      <c r="K36" s="22">
        <v>56650</v>
      </c>
      <c r="L36" s="22">
        <v>52500</v>
      </c>
      <c r="M36" s="22">
        <v>0</v>
      </c>
      <c r="N36" s="24"/>
      <c r="O36" s="22"/>
      <c r="P36" s="22"/>
      <c r="Q36" s="22">
        <v>1</v>
      </c>
      <c r="R36" s="22" t="s">
        <v>54</v>
      </c>
      <c r="T36" s="22" t="s">
        <v>54</v>
      </c>
      <c r="U36" s="13" t="s">
        <v>176</v>
      </c>
      <c r="V36" s="13" t="s">
        <v>147</v>
      </c>
      <c r="W36" s="13" t="s">
        <v>148</v>
      </c>
      <c r="X36" s="13" t="s">
        <v>54</v>
      </c>
      <c r="Y36" s="13" t="s">
        <v>54</v>
      </c>
      <c r="Z36" s="13" t="s">
        <v>56</v>
      </c>
      <c r="AA36" s="13" t="s">
        <v>54</v>
      </c>
      <c r="AB36" s="13" t="s">
        <v>54</v>
      </c>
      <c r="AC36" s="13" t="s">
        <v>58</v>
      </c>
      <c r="AE36" s="13" t="s">
        <v>54</v>
      </c>
      <c r="AG36" s="13" t="s">
        <v>59</v>
      </c>
      <c r="AH36" s="13" t="s">
        <v>60</v>
      </c>
      <c r="AI36" s="13" t="s">
        <v>59</v>
      </c>
      <c r="AJ36" s="13" t="s">
        <v>54</v>
      </c>
      <c r="AK36" s="13" t="s">
        <v>54</v>
      </c>
      <c r="AL36" s="13" t="s">
        <v>149</v>
      </c>
      <c r="AN36" s="13">
        <v>5</v>
      </c>
      <c r="AS36" s="13" t="s">
        <v>154</v>
      </c>
      <c r="AT36" s="13" t="s">
        <v>61</v>
      </c>
      <c r="AU36" s="13" t="s">
        <v>62</v>
      </c>
      <c r="AV36" s="13" t="s">
        <v>63</v>
      </c>
      <c r="AW36" s="15">
        <f>SUM((('[1]Policy Test Cases'!$G$83+'[1]Policy Test Cases'!$G$84+'[1]Policy Test Cases'!$G$85+'[1]Policy Test Cases'!$G$86+'[1]Policy Test Cases'!$G$87+'[1]Policy Test Cases'!$G$89)/'[1]Policy Test Cases'!$G$55)*('[1]SOV 3'!K36+'[1]SOV 3'!L36+'[1]SOV 3'!M36))</f>
        <v>57.079043373228181</v>
      </c>
      <c r="AX36" s="15">
        <f>(('[1]Policy Test Cases'!$G$88/'[1]Policy Test Cases'!$G$55)*('[1]SOV 3'!K36+'[1]SOV 3'!L36+'[1]SOV 3'!M36))</f>
        <v>46.452648186552814</v>
      </c>
      <c r="AY36" s="15">
        <f t="shared" si="0"/>
        <v>103.531691559781</v>
      </c>
    </row>
    <row r="37" spans="1:51" x14ac:dyDescent="0.4">
      <c r="A37" s="13" t="s">
        <v>235</v>
      </c>
      <c r="B37" s="13">
        <v>36</v>
      </c>
      <c r="C37" s="22" t="s">
        <v>236</v>
      </c>
      <c r="D37" s="22" t="s">
        <v>237</v>
      </c>
      <c r="E37" s="22" t="s">
        <v>232</v>
      </c>
      <c r="F37" s="22" t="s">
        <v>52</v>
      </c>
      <c r="G37" s="23">
        <v>36116</v>
      </c>
      <c r="K37" s="22">
        <v>0</v>
      </c>
      <c r="L37" s="22">
        <v>24797089</v>
      </c>
      <c r="M37" s="22">
        <v>0</v>
      </c>
      <c r="N37" s="24"/>
      <c r="O37" s="22"/>
      <c r="P37" s="22"/>
      <c r="Q37" s="22">
        <v>1</v>
      </c>
      <c r="R37" s="22" t="s">
        <v>54</v>
      </c>
      <c r="T37" s="22" t="s">
        <v>54</v>
      </c>
      <c r="U37" s="13" t="s">
        <v>146</v>
      </c>
      <c r="V37" s="13" t="s">
        <v>147</v>
      </c>
      <c r="W37" s="13" t="s">
        <v>148</v>
      </c>
      <c r="X37" s="13" t="s">
        <v>54</v>
      </c>
      <c r="Y37" s="13" t="s">
        <v>54</v>
      </c>
      <c r="Z37" s="13" t="s">
        <v>56</v>
      </c>
      <c r="AA37" s="13" t="s">
        <v>54</v>
      </c>
      <c r="AB37" s="13" t="s">
        <v>54</v>
      </c>
      <c r="AC37" s="13" t="s">
        <v>58</v>
      </c>
      <c r="AE37" s="13" t="s">
        <v>54</v>
      </c>
      <c r="AG37" s="13" t="s">
        <v>59</v>
      </c>
      <c r="AH37" s="13" t="s">
        <v>60</v>
      </c>
      <c r="AI37" s="13" t="s">
        <v>59</v>
      </c>
      <c r="AJ37" s="13" t="s">
        <v>54</v>
      </c>
      <c r="AK37" s="13" t="s">
        <v>54</v>
      </c>
      <c r="AL37" s="13" t="s">
        <v>149</v>
      </c>
      <c r="AN37" s="13">
        <v>5</v>
      </c>
      <c r="AS37" s="13" t="s">
        <v>100</v>
      </c>
      <c r="AT37" s="13" t="s">
        <v>61</v>
      </c>
      <c r="AU37" s="13" t="s">
        <v>62</v>
      </c>
      <c r="AV37" s="13" t="s">
        <v>63</v>
      </c>
      <c r="AW37" s="15">
        <f>SUM((('[1]Policy Test Cases'!$G$83+'[1]Policy Test Cases'!$G$84+'[1]Policy Test Cases'!$G$85+'[1]Policy Test Cases'!$G$86+'[1]Policy Test Cases'!$G$87+'[1]Policy Test Cases'!$G$89)/'[1]Policy Test Cases'!$G$55)*('[1]SOV 3'!K37+'[1]SOV 3'!L37+'[1]SOV 3'!M37))</f>
        <v>12967.422066521296</v>
      </c>
      <c r="AX37" s="15">
        <f>(('[1]Policy Test Cases'!$G$88/'[1]Policy Test Cases'!$G$55)*('[1]SOV 3'!K37+'[1]SOV 3'!L37+'[1]SOV 3'!M37))</f>
        <v>10553.279444504249</v>
      </c>
      <c r="AY37" s="15">
        <f t="shared" si="0"/>
        <v>23520.701511025545</v>
      </c>
    </row>
    <row r="38" spans="1:51" x14ac:dyDescent="0.4">
      <c r="A38" s="13" t="s">
        <v>101</v>
      </c>
      <c r="B38" s="13">
        <v>37</v>
      </c>
      <c r="C38" s="22" t="s">
        <v>236</v>
      </c>
      <c r="D38" s="22" t="s">
        <v>238</v>
      </c>
      <c r="E38" s="22" t="s">
        <v>232</v>
      </c>
      <c r="F38" s="22" t="s">
        <v>52</v>
      </c>
      <c r="G38" s="23">
        <v>36116</v>
      </c>
      <c r="K38" s="22">
        <v>56650000</v>
      </c>
      <c r="L38" s="22">
        <v>0</v>
      </c>
      <c r="M38" s="22">
        <v>0</v>
      </c>
      <c r="N38" s="24"/>
      <c r="O38" s="22"/>
      <c r="P38" s="22"/>
      <c r="Q38" s="22">
        <v>1</v>
      </c>
      <c r="R38" s="22" t="s">
        <v>54</v>
      </c>
      <c r="T38" s="22" t="s">
        <v>54</v>
      </c>
      <c r="U38" s="13" t="s">
        <v>53</v>
      </c>
      <c r="V38" s="13" t="s">
        <v>147</v>
      </c>
      <c r="W38" s="13" t="s">
        <v>148</v>
      </c>
      <c r="X38" s="13" t="s">
        <v>54</v>
      </c>
      <c r="Y38" s="13" t="s">
        <v>54</v>
      </c>
      <c r="Z38" s="13" t="s">
        <v>56</v>
      </c>
      <c r="AA38" s="13" t="s">
        <v>54</v>
      </c>
      <c r="AB38" s="13" t="s">
        <v>54</v>
      </c>
      <c r="AC38" s="13" t="s">
        <v>58</v>
      </c>
      <c r="AE38" s="13" t="s">
        <v>54</v>
      </c>
      <c r="AG38" s="13" t="s">
        <v>59</v>
      </c>
      <c r="AH38" s="13" t="s">
        <v>60</v>
      </c>
      <c r="AI38" s="13" t="s">
        <v>59</v>
      </c>
      <c r="AJ38" s="13" t="s">
        <v>54</v>
      </c>
      <c r="AK38" s="13" t="s">
        <v>54</v>
      </c>
      <c r="AL38" s="13" t="s">
        <v>163</v>
      </c>
      <c r="AN38" s="13">
        <v>4</v>
      </c>
      <c r="AS38" s="13" t="s">
        <v>164</v>
      </c>
      <c r="AT38" s="13" t="s">
        <v>61</v>
      </c>
      <c r="AU38" s="13" t="s">
        <v>62</v>
      </c>
      <c r="AV38" s="13" t="s">
        <v>63</v>
      </c>
      <c r="AW38" s="15">
        <f>SUM((('[1]Policy Test Cases'!$G$83+'[1]Policy Test Cases'!$G$84+'[1]Policy Test Cases'!$G$85+'[1]Policy Test Cases'!$G$86+'[1]Policy Test Cases'!$G$87+'[1]Policy Test Cases'!$G$89)/'[1]Policy Test Cases'!$G$55)*('[1]SOV 3'!K38+'[1]SOV 3'!L38+'[1]SOV 3'!M38))</f>
        <v>29624.624893205466</v>
      </c>
      <c r="AX38" s="15">
        <f>(('[1]Policy Test Cases'!$G$88/'[1]Policy Test Cases'!$G$55)*('[1]SOV 3'!K38+'[1]SOV 3'!L38+'[1]SOV 3'!M38))</f>
        <v>24109.413832049628</v>
      </c>
      <c r="AY38" s="15">
        <f t="shared" si="0"/>
        <v>53734.038725255094</v>
      </c>
    </row>
    <row r="39" spans="1:51" x14ac:dyDescent="0.4">
      <c r="A39" s="13" t="s">
        <v>52</v>
      </c>
      <c r="B39" s="13">
        <v>38</v>
      </c>
      <c r="C39" s="22" t="s">
        <v>236</v>
      </c>
      <c r="D39" s="22" t="s">
        <v>239</v>
      </c>
      <c r="E39" s="22" t="s">
        <v>232</v>
      </c>
      <c r="F39" s="22" t="s">
        <v>52</v>
      </c>
      <c r="G39" s="23">
        <v>36116</v>
      </c>
      <c r="K39" s="22">
        <v>39881600</v>
      </c>
      <c r="L39" s="22">
        <v>0</v>
      </c>
      <c r="M39" s="22">
        <v>0</v>
      </c>
      <c r="N39" s="24"/>
      <c r="O39" s="22"/>
      <c r="P39" s="22"/>
      <c r="Q39" s="22">
        <v>1</v>
      </c>
      <c r="R39" s="22" t="s">
        <v>54</v>
      </c>
      <c r="T39" s="22" t="s">
        <v>54</v>
      </c>
      <c r="U39" s="13" t="s">
        <v>53</v>
      </c>
      <c r="V39" s="13" t="s">
        <v>147</v>
      </c>
      <c r="W39" s="13" t="s">
        <v>148</v>
      </c>
      <c r="X39" s="13" t="s">
        <v>54</v>
      </c>
      <c r="Y39" s="13" t="s">
        <v>54</v>
      </c>
      <c r="Z39" s="13" t="s">
        <v>56</v>
      </c>
      <c r="AA39" s="13" t="s">
        <v>54</v>
      </c>
      <c r="AB39" s="13" t="s">
        <v>54</v>
      </c>
      <c r="AC39" s="13" t="s">
        <v>58</v>
      </c>
      <c r="AE39" s="13" t="s">
        <v>54</v>
      </c>
      <c r="AG39" s="13" t="s">
        <v>59</v>
      </c>
      <c r="AH39" s="13" t="s">
        <v>60</v>
      </c>
      <c r="AI39" s="13" t="s">
        <v>59</v>
      </c>
      <c r="AJ39" s="13" t="s">
        <v>54</v>
      </c>
      <c r="AK39" s="13" t="s">
        <v>54</v>
      </c>
      <c r="AL39" s="13" t="s">
        <v>149</v>
      </c>
      <c r="AN39" s="13">
        <v>6</v>
      </c>
      <c r="AS39" s="13" t="s">
        <v>164</v>
      </c>
      <c r="AT39" s="13" t="s">
        <v>61</v>
      </c>
      <c r="AU39" s="13" t="s">
        <v>62</v>
      </c>
      <c r="AV39" s="13" t="s">
        <v>63</v>
      </c>
      <c r="AW39" s="15">
        <f>SUM((('[1]Policy Test Cases'!$G$83+'[1]Policy Test Cases'!$G$84+'[1]Policy Test Cases'!$G$85+'[1]Policy Test Cases'!$G$86+'[1]Policy Test Cases'!$G$87+'[1]Policy Test Cases'!$G$89)/'[1]Policy Test Cases'!$G$55)*('[1]SOV 3'!K39+'[1]SOV 3'!L39+'[1]SOV 3'!M39))</f>
        <v>20855.735924816647</v>
      </c>
      <c r="AX39" s="15">
        <f>(('[1]Policy Test Cases'!$G$88/'[1]Policy Test Cases'!$G$55)*('[1]SOV 3'!K39+'[1]SOV 3'!L39+'[1]SOV 3'!M39))</f>
        <v>16973.027337762938</v>
      </c>
      <c r="AY39" s="15">
        <f t="shared" si="0"/>
        <v>37828.763262579581</v>
      </c>
    </row>
    <row r="40" spans="1:51" x14ac:dyDescent="0.4">
      <c r="A40" s="13" t="s">
        <v>240</v>
      </c>
      <c r="B40" s="13">
        <v>39</v>
      </c>
      <c r="C40" s="22" t="s">
        <v>236</v>
      </c>
      <c r="D40" s="22" t="s">
        <v>241</v>
      </c>
      <c r="E40" s="22" t="s">
        <v>232</v>
      </c>
      <c r="F40" s="22" t="s">
        <v>52</v>
      </c>
      <c r="G40" s="23">
        <v>36116</v>
      </c>
      <c r="K40" s="22">
        <v>2832500</v>
      </c>
      <c r="L40" s="22">
        <v>0</v>
      </c>
      <c r="M40" s="22">
        <v>0</v>
      </c>
      <c r="N40" s="24"/>
      <c r="O40" s="22"/>
      <c r="P40" s="22"/>
      <c r="Q40" s="22">
        <v>1</v>
      </c>
      <c r="R40" s="22" t="s">
        <v>54</v>
      </c>
      <c r="T40" s="22" t="s">
        <v>54</v>
      </c>
      <c r="U40" s="13" t="s">
        <v>53</v>
      </c>
      <c r="V40" s="13" t="s">
        <v>147</v>
      </c>
      <c r="W40" s="13" t="s">
        <v>148</v>
      </c>
      <c r="X40" s="13" t="s">
        <v>54</v>
      </c>
      <c r="Y40" s="13" t="s">
        <v>54</v>
      </c>
      <c r="Z40" s="13" t="s">
        <v>56</v>
      </c>
      <c r="AA40" s="13" t="s">
        <v>54</v>
      </c>
      <c r="AB40" s="13" t="s">
        <v>54</v>
      </c>
      <c r="AC40" s="13" t="s">
        <v>58</v>
      </c>
      <c r="AE40" s="13" t="s">
        <v>54</v>
      </c>
      <c r="AG40" s="13" t="s">
        <v>59</v>
      </c>
      <c r="AH40" s="13" t="s">
        <v>60</v>
      </c>
      <c r="AI40" s="13" t="s">
        <v>59</v>
      </c>
      <c r="AJ40" s="13" t="s">
        <v>54</v>
      </c>
      <c r="AK40" s="13" t="s">
        <v>54</v>
      </c>
      <c r="AL40" s="13" t="s">
        <v>163</v>
      </c>
      <c r="AN40" s="13">
        <v>1</v>
      </c>
      <c r="AS40" s="13" t="s">
        <v>100</v>
      </c>
      <c r="AT40" s="13" t="s">
        <v>61</v>
      </c>
      <c r="AU40" s="13" t="s">
        <v>62</v>
      </c>
      <c r="AV40" s="13" t="s">
        <v>63</v>
      </c>
      <c r="AW40" s="15">
        <f>SUM((('[1]Policy Test Cases'!$G$83+'[1]Policy Test Cases'!$G$84+'[1]Policy Test Cases'!$G$85+'[1]Policy Test Cases'!$G$86+'[1]Policy Test Cases'!$G$87+'[1]Policy Test Cases'!$G$89)/'[1]Policy Test Cases'!$G$55)*('[1]SOV 3'!K40+'[1]SOV 3'!L40+'[1]SOV 3'!M40))</f>
        <v>1481.2312446602732</v>
      </c>
      <c r="AX40" s="15">
        <f>(('[1]Policy Test Cases'!$G$88/'[1]Policy Test Cases'!$G$55)*('[1]SOV 3'!K40+'[1]SOV 3'!L40+'[1]SOV 3'!M40))</f>
        <v>1205.4706916024816</v>
      </c>
      <c r="AY40" s="15">
        <f t="shared" si="0"/>
        <v>2686.7019362627548</v>
      </c>
    </row>
    <row r="41" spans="1:51" x14ac:dyDescent="0.4">
      <c r="A41" s="13" t="s">
        <v>242</v>
      </c>
      <c r="B41" s="13">
        <v>40</v>
      </c>
      <c r="C41" s="22" t="s">
        <v>236</v>
      </c>
      <c r="D41" s="22" t="s">
        <v>243</v>
      </c>
      <c r="E41" s="22" t="s">
        <v>232</v>
      </c>
      <c r="F41" s="22" t="s">
        <v>52</v>
      </c>
      <c r="G41" s="23">
        <v>36116</v>
      </c>
      <c r="K41" s="22">
        <v>453200</v>
      </c>
      <c r="L41" s="22">
        <v>0</v>
      </c>
      <c r="M41" s="22">
        <v>0</v>
      </c>
      <c r="N41" s="24"/>
      <c r="O41" s="22"/>
      <c r="P41" s="22"/>
      <c r="Q41" s="22">
        <v>1</v>
      </c>
      <c r="R41" s="22" t="s">
        <v>54</v>
      </c>
      <c r="T41" s="22" t="s">
        <v>54</v>
      </c>
      <c r="U41" s="13" t="s">
        <v>53</v>
      </c>
      <c r="V41" s="13" t="s">
        <v>147</v>
      </c>
      <c r="W41" s="13" t="s">
        <v>148</v>
      </c>
      <c r="X41" s="13" t="s">
        <v>54</v>
      </c>
      <c r="Y41" s="13" t="s">
        <v>54</v>
      </c>
      <c r="Z41" s="13" t="s">
        <v>56</v>
      </c>
      <c r="AA41" s="13" t="s">
        <v>54</v>
      </c>
      <c r="AB41" s="13" t="s">
        <v>54</v>
      </c>
      <c r="AC41" s="13" t="s">
        <v>58</v>
      </c>
      <c r="AE41" s="13" t="s">
        <v>54</v>
      </c>
      <c r="AG41" s="13" t="s">
        <v>59</v>
      </c>
      <c r="AH41" s="13" t="s">
        <v>60</v>
      </c>
      <c r="AI41" s="13" t="s">
        <v>59</v>
      </c>
      <c r="AJ41" s="13" t="s">
        <v>54</v>
      </c>
      <c r="AK41" s="13" t="s">
        <v>54</v>
      </c>
      <c r="AL41" s="13" t="s">
        <v>173</v>
      </c>
      <c r="AN41" s="13">
        <v>2</v>
      </c>
      <c r="AS41" s="13" t="s">
        <v>100</v>
      </c>
      <c r="AT41" s="13" t="s">
        <v>61</v>
      </c>
      <c r="AU41" s="13" t="s">
        <v>62</v>
      </c>
      <c r="AV41" s="13" t="s">
        <v>63</v>
      </c>
      <c r="AW41" s="15">
        <f>SUM((('[1]Policy Test Cases'!$G$83+'[1]Policy Test Cases'!$G$84+'[1]Policy Test Cases'!$G$85+'[1]Policy Test Cases'!$G$86+'[1]Policy Test Cases'!$G$87+'[1]Policy Test Cases'!$G$89)/'[1]Policy Test Cases'!$G$55)*('[1]SOV 3'!K41+'[1]SOV 3'!L41+'[1]SOV 3'!M41))</f>
        <v>236.99699914564371</v>
      </c>
      <c r="AX41" s="15">
        <f>(('[1]Policy Test Cases'!$G$88/'[1]Policy Test Cases'!$G$55)*('[1]SOV 3'!K41+'[1]SOV 3'!L41+'[1]SOV 3'!M41))</f>
        <v>192.87531065639703</v>
      </c>
      <c r="AY41" s="15">
        <f t="shared" si="0"/>
        <v>429.87230980204072</v>
      </c>
    </row>
    <row r="42" spans="1:51" x14ac:dyDescent="0.4">
      <c r="A42" s="13" t="s">
        <v>244</v>
      </c>
      <c r="B42" s="13">
        <v>41</v>
      </c>
      <c r="C42" s="22" t="s">
        <v>245</v>
      </c>
      <c r="D42" s="22" t="s">
        <v>246</v>
      </c>
      <c r="E42" s="22" t="s">
        <v>232</v>
      </c>
      <c r="F42" s="22" t="s">
        <v>52</v>
      </c>
      <c r="G42" s="23">
        <v>36116</v>
      </c>
      <c r="K42" s="22">
        <v>2266000</v>
      </c>
      <c r="L42" s="22">
        <v>210000</v>
      </c>
      <c r="M42" s="22">
        <v>0</v>
      </c>
      <c r="N42" s="24"/>
      <c r="O42" s="22"/>
      <c r="P42" s="22"/>
      <c r="Q42" s="22">
        <v>1</v>
      </c>
      <c r="R42" s="22" t="s">
        <v>54</v>
      </c>
      <c r="T42" s="22" t="s">
        <v>54</v>
      </c>
      <c r="U42" s="13" t="s">
        <v>176</v>
      </c>
      <c r="V42" s="13" t="s">
        <v>147</v>
      </c>
      <c r="W42" s="13" t="s">
        <v>148</v>
      </c>
      <c r="X42" s="13" t="s">
        <v>54</v>
      </c>
      <c r="Y42" s="13" t="s">
        <v>54</v>
      </c>
      <c r="Z42" s="13" t="s">
        <v>56</v>
      </c>
      <c r="AA42" s="13" t="s">
        <v>54</v>
      </c>
      <c r="AB42" s="13" t="s">
        <v>54</v>
      </c>
      <c r="AC42" s="13" t="s">
        <v>58</v>
      </c>
      <c r="AE42" s="13" t="s">
        <v>54</v>
      </c>
      <c r="AG42" s="13" t="s">
        <v>59</v>
      </c>
      <c r="AH42" s="13" t="s">
        <v>60</v>
      </c>
      <c r="AI42" s="13" t="s">
        <v>59</v>
      </c>
      <c r="AJ42" s="13" t="s">
        <v>54</v>
      </c>
      <c r="AK42" s="13" t="s">
        <v>54</v>
      </c>
      <c r="AL42" s="13" t="s">
        <v>149</v>
      </c>
      <c r="AN42" s="13">
        <v>4</v>
      </c>
      <c r="AS42" s="13" t="s">
        <v>164</v>
      </c>
      <c r="AT42" s="13" t="s">
        <v>61</v>
      </c>
      <c r="AU42" s="13" t="s">
        <v>62</v>
      </c>
      <c r="AV42" s="13" t="s">
        <v>63</v>
      </c>
      <c r="AW42" s="15">
        <f>SUM((('[1]Policy Test Cases'!$G$83+'[1]Policy Test Cases'!$G$84+'[1]Policy Test Cases'!$G$85+'[1]Policy Test Cases'!$G$86+'[1]Policy Test Cases'!$G$87+'[1]Policy Test Cases'!$G$89)/'[1]Policy Test Cases'!$G$55)*('[1]SOV 3'!K42+'[1]SOV 3'!L42+'[1]SOV 3'!M42))</f>
        <v>1294.8026696483093</v>
      </c>
      <c r="AX42" s="15">
        <f>(('[1]Policy Test Cases'!$G$88/'[1]Policy Test Cases'!$G$55)*('[1]SOV 3'!K42+'[1]SOV 3'!L42+'[1]SOV 3'!M42))</f>
        <v>1053.749490699998</v>
      </c>
      <c r="AY42" s="15">
        <f t="shared" si="0"/>
        <v>2348.5521603483076</v>
      </c>
    </row>
    <row r="43" spans="1:51" x14ac:dyDescent="0.4">
      <c r="A43" s="13" t="s">
        <v>247</v>
      </c>
      <c r="B43" s="13">
        <v>42</v>
      </c>
      <c r="C43" s="22" t="s">
        <v>248</v>
      </c>
      <c r="D43" s="22" t="s">
        <v>249</v>
      </c>
      <c r="E43" s="22" t="s">
        <v>232</v>
      </c>
      <c r="F43" s="22" t="s">
        <v>52</v>
      </c>
      <c r="G43" s="23">
        <v>36106</v>
      </c>
      <c r="K43" s="22">
        <v>5948250</v>
      </c>
      <c r="L43" s="22">
        <v>0</v>
      </c>
      <c r="M43" s="22">
        <v>500000</v>
      </c>
      <c r="N43" s="24"/>
      <c r="O43" s="22"/>
      <c r="P43" s="22"/>
      <c r="Q43" s="22">
        <v>1</v>
      </c>
      <c r="R43" s="22" t="s">
        <v>54</v>
      </c>
      <c r="T43" s="22" t="s">
        <v>54</v>
      </c>
      <c r="U43" s="13" t="s">
        <v>176</v>
      </c>
      <c r="V43" s="13" t="s">
        <v>147</v>
      </c>
      <c r="W43" s="13" t="s">
        <v>148</v>
      </c>
      <c r="X43" s="13" t="s">
        <v>54</v>
      </c>
      <c r="Y43" s="13" t="s">
        <v>54</v>
      </c>
      <c r="Z43" s="13" t="s">
        <v>56</v>
      </c>
      <c r="AA43" s="13" t="s">
        <v>54</v>
      </c>
      <c r="AB43" s="13" t="s">
        <v>54</v>
      </c>
      <c r="AC43" s="13" t="s">
        <v>88</v>
      </c>
      <c r="AE43" s="13" t="s">
        <v>54</v>
      </c>
      <c r="AG43" s="13" t="s">
        <v>59</v>
      </c>
      <c r="AH43" s="13" t="s">
        <v>60</v>
      </c>
      <c r="AI43" s="13" t="s">
        <v>59</v>
      </c>
      <c r="AJ43" s="13" t="s">
        <v>54</v>
      </c>
      <c r="AK43" s="13" t="s">
        <v>54</v>
      </c>
      <c r="AL43" s="13" t="s">
        <v>149</v>
      </c>
      <c r="AN43" s="13">
        <v>6</v>
      </c>
      <c r="AS43" s="13" t="s">
        <v>179</v>
      </c>
      <c r="AT43" s="13" t="s">
        <v>61</v>
      </c>
      <c r="AU43" s="13" t="s">
        <v>62</v>
      </c>
      <c r="AV43" s="13" t="s">
        <v>63</v>
      </c>
      <c r="AW43" s="15">
        <f>SUM((('[1]Policy Test Cases'!$G$83+'[1]Policy Test Cases'!$G$84+'[1]Policy Test Cases'!$G$85+'[1]Policy Test Cases'!$G$86+'[1]Policy Test Cases'!$G$87+'[1]Policy Test Cases'!$G$89)/'[1]Policy Test Cases'!$G$55)*('[1]SOV 3'!K43+'[1]SOV 3'!L43+'[1]SOV 3'!M43))</f>
        <v>3372.0562659772663</v>
      </c>
      <c r="AX43" s="15">
        <f>(('[1]Policy Test Cases'!$G$88/'[1]Policy Test Cases'!$G$55)*('[1]SOV 3'!K43+'[1]SOV 3'!L43+'[1]SOV 3'!M43))</f>
        <v>2744.2811605033367</v>
      </c>
      <c r="AY43" s="15">
        <f t="shared" si="0"/>
        <v>6116.3374264806025</v>
      </c>
    </row>
    <row r="44" spans="1:51" x14ac:dyDescent="0.4">
      <c r="A44" s="13" t="s">
        <v>250</v>
      </c>
      <c r="B44" s="13">
        <v>43</v>
      </c>
      <c r="C44" s="22" t="s">
        <v>251</v>
      </c>
      <c r="D44" s="22" t="s">
        <v>252</v>
      </c>
      <c r="E44" s="22" t="s">
        <v>232</v>
      </c>
      <c r="F44" s="22" t="s">
        <v>52</v>
      </c>
      <c r="G44" s="23">
        <v>36111</v>
      </c>
      <c r="K44" s="22">
        <v>402215</v>
      </c>
      <c r="L44" s="22">
        <v>0</v>
      </c>
      <c r="M44" s="22">
        <v>35000</v>
      </c>
      <c r="N44" s="24"/>
      <c r="O44" s="22"/>
      <c r="P44" s="22"/>
      <c r="Q44" s="22">
        <v>1</v>
      </c>
      <c r="R44" s="22" t="s">
        <v>54</v>
      </c>
      <c r="T44" s="22" t="s">
        <v>54</v>
      </c>
      <c r="U44" s="13" t="s">
        <v>53</v>
      </c>
      <c r="V44" s="13" t="s">
        <v>147</v>
      </c>
      <c r="W44" s="13" t="s">
        <v>148</v>
      </c>
      <c r="X44" s="13" t="s">
        <v>54</v>
      </c>
      <c r="Y44" s="13" t="s">
        <v>54</v>
      </c>
      <c r="Z44" s="13" t="s">
        <v>56</v>
      </c>
      <c r="AA44" s="13" t="s">
        <v>54</v>
      </c>
      <c r="AB44" s="13" t="s">
        <v>54</v>
      </c>
      <c r="AC44" s="13" t="s">
        <v>88</v>
      </c>
      <c r="AE44" s="13" t="s">
        <v>54</v>
      </c>
      <c r="AG44" s="13" t="s">
        <v>59</v>
      </c>
      <c r="AH44" s="13" t="s">
        <v>60</v>
      </c>
      <c r="AI44" s="13" t="s">
        <v>59</v>
      </c>
      <c r="AJ44" s="13" t="s">
        <v>54</v>
      </c>
      <c r="AK44" s="13" t="s">
        <v>54</v>
      </c>
      <c r="AL44" s="13" t="s">
        <v>173</v>
      </c>
      <c r="AN44" s="13">
        <v>3</v>
      </c>
      <c r="AS44" s="13" t="s">
        <v>100</v>
      </c>
      <c r="AT44" s="13" t="s">
        <v>61</v>
      </c>
      <c r="AU44" s="13" t="s">
        <v>62</v>
      </c>
      <c r="AV44" s="13" t="s">
        <v>63</v>
      </c>
      <c r="AW44" s="15">
        <f>SUM((('[1]Policy Test Cases'!$G$83+'[1]Policy Test Cases'!$G$84+'[1]Policy Test Cases'!$G$85+'[1]Policy Test Cases'!$G$86+'[1]Policy Test Cases'!$G$87+'[1]Policy Test Cases'!$G$89)/'[1]Policy Test Cases'!$G$55)*('[1]SOV 3'!K44+'[1]SOV 3'!L44+'[1]SOV 3'!M44))</f>
        <v>228.63778239510728</v>
      </c>
      <c r="AX44" s="15">
        <f>(('[1]Policy Test Cases'!$G$88/'[1]Policy Test Cases'!$G$55)*('[1]SOV 3'!K44+'[1]SOV 3'!L44+'[1]SOV 3'!M44))</f>
        <v>186.07232777722115</v>
      </c>
      <c r="AY44" s="15">
        <f t="shared" si="0"/>
        <v>414.71011017232843</v>
      </c>
    </row>
    <row r="45" spans="1:51" x14ac:dyDescent="0.4">
      <c r="A45" s="13" t="s">
        <v>102</v>
      </c>
      <c r="B45" s="13">
        <v>44</v>
      </c>
      <c r="C45" s="22" t="s">
        <v>253</v>
      </c>
      <c r="D45" s="22" t="s">
        <v>254</v>
      </c>
      <c r="E45" s="22" t="s">
        <v>232</v>
      </c>
      <c r="F45" s="22" t="s">
        <v>52</v>
      </c>
      <c r="G45" s="23">
        <v>36108</v>
      </c>
      <c r="K45" s="22">
        <v>2266000</v>
      </c>
      <c r="L45" s="22">
        <v>52500</v>
      </c>
      <c r="M45" s="22">
        <v>0</v>
      </c>
      <c r="N45" s="24"/>
      <c r="O45" s="22"/>
      <c r="P45" s="22"/>
      <c r="Q45" s="22">
        <v>1</v>
      </c>
      <c r="R45" s="22" t="s">
        <v>54</v>
      </c>
      <c r="T45" s="22" t="s">
        <v>54</v>
      </c>
      <c r="U45" s="13" t="s">
        <v>176</v>
      </c>
      <c r="V45" s="13" t="s">
        <v>147</v>
      </c>
      <c r="W45" s="13" t="s">
        <v>148</v>
      </c>
      <c r="X45" s="13" t="s">
        <v>54</v>
      </c>
      <c r="Y45" s="13" t="s">
        <v>54</v>
      </c>
      <c r="Z45" s="13" t="s">
        <v>56</v>
      </c>
      <c r="AA45" s="13" t="s">
        <v>54</v>
      </c>
      <c r="AB45" s="13" t="s">
        <v>54</v>
      </c>
      <c r="AC45" s="13" t="s">
        <v>58</v>
      </c>
      <c r="AE45" s="13" t="s">
        <v>54</v>
      </c>
      <c r="AG45" s="13" t="s">
        <v>59</v>
      </c>
      <c r="AH45" s="13" t="s">
        <v>60</v>
      </c>
      <c r="AI45" s="13" t="s">
        <v>59</v>
      </c>
      <c r="AJ45" s="13" t="s">
        <v>54</v>
      </c>
      <c r="AK45" s="13" t="s">
        <v>54</v>
      </c>
      <c r="AL45" s="13" t="s">
        <v>163</v>
      </c>
      <c r="AN45" s="13">
        <v>1</v>
      </c>
      <c r="AS45" s="13" t="s">
        <v>100</v>
      </c>
      <c r="AT45" s="13" t="s">
        <v>61</v>
      </c>
      <c r="AU45" s="13" t="s">
        <v>62</v>
      </c>
      <c r="AV45" s="13" t="s">
        <v>63</v>
      </c>
      <c r="AW45" s="15">
        <f>SUM((('[1]Policy Test Cases'!$G$83+'[1]Policy Test Cases'!$G$84+'[1]Policy Test Cases'!$G$85+'[1]Policy Test Cases'!$G$86+'[1]Policy Test Cases'!$G$87+'[1]Policy Test Cases'!$G$89)/'[1]Policy Test Cases'!$G$55)*('[1]SOV 3'!K45+'[1]SOV 3'!L45+'[1]SOV 3'!M45))</f>
        <v>1212.4394142082413</v>
      </c>
      <c r="AX45" s="15">
        <f>(('[1]Policy Test Cases'!$G$88/'[1]Policy Test Cases'!$G$55)*('[1]SOV 3'!K45+'[1]SOV 3'!L45+'[1]SOV 3'!M45))</f>
        <v>986.71978763648838</v>
      </c>
      <c r="AY45" s="15">
        <f t="shared" si="0"/>
        <v>2199.1592018447295</v>
      </c>
    </row>
    <row r="46" spans="1:51" x14ac:dyDescent="0.4">
      <c r="A46" s="13" t="s">
        <v>255</v>
      </c>
      <c r="B46" s="13">
        <v>45</v>
      </c>
      <c r="C46" s="22" t="s">
        <v>256</v>
      </c>
      <c r="D46" s="22" t="s">
        <v>257</v>
      </c>
      <c r="E46" s="22" t="s">
        <v>232</v>
      </c>
      <c r="F46" s="22" t="s">
        <v>52</v>
      </c>
      <c r="G46" s="23">
        <v>36116</v>
      </c>
      <c r="K46" s="22">
        <v>509850</v>
      </c>
      <c r="L46" s="22">
        <v>262500</v>
      </c>
      <c r="M46" s="22">
        <v>20000</v>
      </c>
      <c r="N46" s="24"/>
      <c r="O46" s="22"/>
      <c r="P46" s="22"/>
      <c r="Q46" s="22">
        <v>1</v>
      </c>
      <c r="R46" s="22" t="s">
        <v>54</v>
      </c>
      <c r="T46" s="22" t="s">
        <v>54</v>
      </c>
      <c r="U46" s="13" t="s">
        <v>176</v>
      </c>
      <c r="V46" s="13" t="s">
        <v>147</v>
      </c>
      <c r="W46" s="13" t="s">
        <v>148</v>
      </c>
      <c r="X46" s="13" t="s">
        <v>54</v>
      </c>
      <c r="Y46" s="13" t="s">
        <v>54</v>
      </c>
      <c r="Z46" s="13" t="s">
        <v>56</v>
      </c>
      <c r="AA46" s="13" t="s">
        <v>54</v>
      </c>
      <c r="AB46" s="13" t="s">
        <v>54</v>
      </c>
      <c r="AC46" s="13" t="s">
        <v>88</v>
      </c>
      <c r="AE46" s="13" t="s">
        <v>54</v>
      </c>
      <c r="AG46" s="13" t="s">
        <v>59</v>
      </c>
      <c r="AH46" s="13" t="s">
        <v>60</v>
      </c>
      <c r="AI46" s="13" t="s">
        <v>59</v>
      </c>
      <c r="AJ46" s="13" t="s">
        <v>54</v>
      </c>
      <c r="AK46" s="13" t="s">
        <v>54</v>
      </c>
      <c r="AN46" s="13">
        <v>3</v>
      </c>
      <c r="AS46" s="13" t="s">
        <v>164</v>
      </c>
      <c r="AT46" s="13" t="s">
        <v>61</v>
      </c>
      <c r="AU46" s="13" t="s">
        <v>62</v>
      </c>
      <c r="AV46" s="13" t="s">
        <v>63</v>
      </c>
      <c r="AW46" s="15">
        <f>SUM((('[1]Policy Test Cases'!$G$83+'[1]Policy Test Cases'!$G$84+'[1]Policy Test Cases'!$G$85+'[1]Policy Test Cases'!$G$86+'[1]Policy Test Cases'!$G$87+'[1]Policy Test Cases'!$G$89)/'[1]Policy Test Cases'!$G$55)*('[1]SOV 3'!K46+'[1]SOV 3'!L46+'[1]SOV 3'!M46))</f>
        <v>414.35254252659047</v>
      </c>
      <c r="AX46" s="15">
        <f>(('[1]Policy Test Cases'!$G$88/'[1]Policy Test Cases'!$G$55)*('[1]SOV 3'!K46+'[1]SOV 3'!L46+'[1]SOV 3'!M46))</f>
        <v>337.2126045864876</v>
      </c>
      <c r="AY46" s="15">
        <f t="shared" si="0"/>
        <v>751.56514711307807</v>
      </c>
    </row>
    <row r="47" spans="1:51" x14ac:dyDescent="0.4">
      <c r="A47" s="13" t="s">
        <v>258</v>
      </c>
      <c r="B47" s="13">
        <v>46</v>
      </c>
      <c r="C47" s="22" t="s">
        <v>259</v>
      </c>
      <c r="D47" s="22" t="s">
        <v>260</v>
      </c>
      <c r="E47" s="22" t="s">
        <v>232</v>
      </c>
      <c r="F47" s="22" t="s">
        <v>52</v>
      </c>
      <c r="G47" s="23">
        <v>36116</v>
      </c>
      <c r="K47" s="22">
        <v>0</v>
      </c>
      <c r="L47" s="22">
        <v>315000</v>
      </c>
      <c r="M47" s="22">
        <v>0</v>
      </c>
      <c r="N47" s="24"/>
      <c r="O47" s="22"/>
      <c r="P47" s="22"/>
      <c r="Q47" s="22">
        <v>1</v>
      </c>
      <c r="R47" s="22" t="s">
        <v>54</v>
      </c>
      <c r="T47" s="22" t="s">
        <v>54</v>
      </c>
      <c r="U47" s="13" t="s">
        <v>146</v>
      </c>
      <c r="V47" s="13" t="s">
        <v>147</v>
      </c>
      <c r="W47" s="13" t="s">
        <v>148</v>
      </c>
      <c r="X47" s="13" t="s">
        <v>54</v>
      </c>
      <c r="Y47" s="13" t="s">
        <v>54</v>
      </c>
      <c r="Z47" s="13" t="s">
        <v>56</v>
      </c>
      <c r="AA47" s="13" t="s">
        <v>54</v>
      </c>
      <c r="AB47" s="13" t="s">
        <v>54</v>
      </c>
      <c r="AC47" s="13" t="s">
        <v>58</v>
      </c>
      <c r="AE47" s="13" t="s">
        <v>54</v>
      </c>
      <c r="AG47" s="13" t="s">
        <v>59</v>
      </c>
      <c r="AH47" s="13" t="s">
        <v>60</v>
      </c>
      <c r="AI47" s="13" t="s">
        <v>59</v>
      </c>
      <c r="AJ47" s="13" t="s">
        <v>54</v>
      </c>
      <c r="AK47" s="13" t="s">
        <v>54</v>
      </c>
      <c r="AN47" s="13">
        <v>3</v>
      </c>
      <c r="AS47" s="13" t="s">
        <v>179</v>
      </c>
      <c r="AT47" s="13" t="s">
        <v>61</v>
      </c>
      <c r="AU47" s="13" t="s">
        <v>62</v>
      </c>
      <c r="AV47" s="13" t="s">
        <v>63</v>
      </c>
      <c r="AW47" s="15">
        <f>SUM((('[1]Policy Test Cases'!$G$83+'[1]Policy Test Cases'!$G$84+'[1]Policy Test Cases'!$G$85+'[1]Policy Test Cases'!$G$86+'[1]Policy Test Cases'!$G$87+'[1]Policy Test Cases'!$G$89)/'[1]Policy Test Cases'!$G$55)*('[1]SOV 3'!K47+'[1]SOV 3'!L47+'[1]SOV 3'!M47))</f>
        <v>164.72651088013629</v>
      </c>
      <c r="AX47" s="15">
        <f>(('[1]Policy Test Cases'!$G$88/'[1]Policy Test Cases'!$G$55)*('[1]SOV 3'!K47+'[1]SOV 3'!L47+'[1]SOV 3'!M47))</f>
        <v>134.05940612701912</v>
      </c>
      <c r="AY47" s="15">
        <f t="shared" si="0"/>
        <v>298.78591700715538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50CB-CCC0-4072-A574-03A303977163}">
  <dimension ref="A1:B53"/>
  <sheetViews>
    <sheetView workbookViewId="0">
      <selection activeCell="B13" sqref="B13"/>
    </sheetView>
  </sheetViews>
  <sheetFormatPr defaultRowHeight="14.25" x14ac:dyDescent="0.45"/>
  <cols>
    <col min="1" max="1" width="5.73046875" style="17" customWidth="1"/>
    <col min="2" max="2" width="21.59765625" style="17" customWidth="1"/>
  </cols>
  <sheetData>
    <row r="1" spans="1:2" x14ac:dyDescent="0.45">
      <c r="A1" s="18" t="s">
        <v>5</v>
      </c>
      <c r="B1" s="18" t="s">
        <v>50</v>
      </c>
    </row>
    <row r="2" spans="1:2" x14ac:dyDescent="0.45">
      <c r="A2" s="19" t="s">
        <v>101</v>
      </c>
      <c r="B2" s="20">
        <v>0</v>
      </c>
    </row>
    <row r="3" spans="1:2" x14ac:dyDescent="0.45">
      <c r="A3" s="19" t="s">
        <v>52</v>
      </c>
      <c r="B3" s="20">
        <f>SUMIF('Model SOV'!F$2:F$1048576,'State Premiums'!A3,'Model SOV'!AY$2:AY$1048576)</f>
        <v>132784.29451445804</v>
      </c>
    </row>
    <row r="4" spans="1:2" x14ac:dyDescent="0.45">
      <c r="A4" s="19" t="s">
        <v>102</v>
      </c>
      <c r="B4" s="20">
        <f>SUMIF('Model SOV'!F$2:F$1048576,'State Premiums'!A4,'Model SOV'!AY$2:AY$1048576)</f>
        <v>0</v>
      </c>
    </row>
    <row r="5" spans="1:2" x14ac:dyDescent="0.45">
      <c r="A5" s="19" t="s">
        <v>103</v>
      </c>
      <c r="B5" s="20">
        <f>SUMIF('Model SOV'!F$2:F$1048576,'State Premiums'!A5,'Model SOV'!AY$2:AY$1048576)</f>
        <v>0</v>
      </c>
    </row>
    <row r="6" spans="1:2" x14ac:dyDescent="0.45">
      <c r="A6" s="19" t="s">
        <v>104</v>
      </c>
      <c r="B6" s="20">
        <f>SUMIF('Model SOV'!F$2:F$1048576,'State Premiums'!A6,'Model SOV'!AY$2:AY$1048576)</f>
        <v>189.70629265824792</v>
      </c>
    </row>
    <row r="7" spans="1:2" x14ac:dyDescent="0.45">
      <c r="A7" s="19" t="s">
        <v>105</v>
      </c>
      <c r="B7" s="20">
        <f>SUMIF('Model SOV'!F$2:F$1048576,'State Premiums'!A7,'Model SOV'!AY$2:AY$1048576)</f>
        <v>0</v>
      </c>
    </row>
    <row r="8" spans="1:2" x14ac:dyDescent="0.45">
      <c r="A8" s="19" t="s">
        <v>106</v>
      </c>
      <c r="B8" s="20">
        <f>SUMIF('Model SOV'!F$2:F$1048576,'State Premiums'!A8,'Model SOV'!AY$2:AY$1048576)</f>
        <v>9.4852672065763631E-4</v>
      </c>
    </row>
    <row r="9" spans="1:2" x14ac:dyDescent="0.45">
      <c r="A9" s="19" t="s">
        <v>107</v>
      </c>
      <c r="B9" s="20">
        <f>SUMIF('Model SOV'!F$2:F$1048576,'State Premiums'!A9,'Model SOV'!AY$2:AY$1048576)</f>
        <v>0</v>
      </c>
    </row>
    <row r="10" spans="1:2" x14ac:dyDescent="0.45">
      <c r="A10" s="19" t="s">
        <v>108</v>
      </c>
      <c r="B10" s="20">
        <f>SUMIF('Model SOV'!F$2:F$1048576,'State Premiums'!A10,'Model SOV'!AY$2:AY$1048576)</f>
        <v>0</v>
      </c>
    </row>
    <row r="11" spans="1:2" x14ac:dyDescent="0.45">
      <c r="A11" s="19" t="s">
        <v>66</v>
      </c>
      <c r="B11" s="20">
        <f>SUMIF('Model SOV'!F$2:F$1048576,'State Premiums'!A11,'Model SOV'!AY$2:AY$1048576)</f>
        <v>389.76954857935652</v>
      </c>
    </row>
    <row r="12" spans="1:2" x14ac:dyDescent="0.45">
      <c r="A12" s="19" t="s">
        <v>109</v>
      </c>
      <c r="B12" s="20">
        <f>SUMIF('Model SOV'!F$2:F$1048576,'State Premiums'!A12,'Model SOV'!AY$2:AY$1048576)</f>
        <v>0</v>
      </c>
    </row>
    <row r="13" spans="1:2" x14ac:dyDescent="0.45">
      <c r="A13" s="19" t="s">
        <v>110</v>
      </c>
      <c r="B13" s="20">
        <f>SUMIF('Model SOV'!F$2:F$1048576,'State Premiums'!A13,'Model SOV'!AY$2:AY$1048576)</f>
        <v>71.13950404932271</v>
      </c>
    </row>
    <row r="14" spans="1:2" x14ac:dyDescent="0.45">
      <c r="A14" s="19" t="s">
        <v>111</v>
      </c>
      <c r="B14" s="20">
        <f>SUMIF('Model SOV'!F$2:F$1048576,'State Premiums'!A14,'Model SOV'!AY$2:AY$1048576)</f>
        <v>0</v>
      </c>
    </row>
    <row r="15" spans="1:2" x14ac:dyDescent="0.45">
      <c r="A15" s="19" t="s">
        <v>112</v>
      </c>
      <c r="B15" s="20">
        <f>SUMIF('Model SOV'!F$2:F$1048576,'State Premiums'!A15,'Model SOV'!AY$2:AY$1048576)</f>
        <v>0</v>
      </c>
    </row>
    <row r="16" spans="1:2" x14ac:dyDescent="0.45">
      <c r="A16" s="19" t="s">
        <v>97</v>
      </c>
      <c r="B16" s="20">
        <f>SUMIF('Model SOV'!F$2:F$1048576,'State Premiums'!A16,'Model SOV'!AY$2:AY$1048576)</f>
        <v>0</v>
      </c>
    </row>
    <row r="17" spans="1:2" x14ac:dyDescent="0.45">
      <c r="A17" s="19" t="s">
        <v>113</v>
      </c>
      <c r="B17" s="20">
        <f>SUMIF('Model SOV'!F$2:F$1048576,'State Premiums'!A17,'Model SOV'!AY$2:AY$1048576)</f>
        <v>9580.1198786421264</v>
      </c>
    </row>
    <row r="18" spans="1:2" x14ac:dyDescent="0.45">
      <c r="A18" s="19" t="s">
        <v>114</v>
      </c>
      <c r="B18" s="20">
        <f>SUMIF('Model SOV'!F$2:F$1048576,'State Premiums'!A18,'Model SOV'!AY$2:AY$1048576)</f>
        <v>0</v>
      </c>
    </row>
    <row r="19" spans="1:2" x14ac:dyDescent="0.45">
      <c r="A19" s="19" t="s">
        <v>115</v>
      </c>
      <c r="B19" s="20">
        <f>SUMIF('Model SOV'!F$2:F$1048576,'State Premiums'!A19,'Model SOV'!AY$2:AY$1048576)</f>
        <v>132784.29451445804</v>
      </c>
    </row>
    <row r="20" spans="1:2" x14ac:dyDescent="0.45">
      <c r="A20" s="19" t="s">
        <v>116</v>
      </c>
      <c r="B20" s="20">
        <f>SUMIF('Model SOV'!F$2:F$1048576,'State Premiums'!A20,'Model SOV'!AY$2:AY$1048576)</f>
        <v>0</v>
      </c>
    </row>
    <row r="21" spans="1:2" x14ac:dyDescent="0.45">
      <c r="A21" s="19" t="s">
        <v>117</v>
      </c>
      <c r="B21" s="20">
        <f>SUMIF('Model SOV'!F$2:F$1048576,'State Premiums'!A21,'Model SOV'!AY$2:AY$1048576)</f>
        <v>0</v>
      </c>
    </row>
    <row r="22" spans="1:2" x14ac:dyDescent="0.45">
      <c r="A22" s="19" t="s">
        <v>69</v>
      </c>
      <c r="B22" s="20">
        <f>SUMIF('Model SOV'!F$2:F$1048576,'State Premiums'!A22,'Model SOV'!AY$2:AY$1048576)</f>
        <v>71.13950404932271</v>
      </c>
    </row>
    <row r="23" spans="1:2" x14ac:dyDescent="0.45">
      <c r="A23" s="19" t="s">
        <v>118</v>
      </c>
      <c r="B23" s="20">
        <f>SUMIF('Model SOV'!F$2:F$1048576,'State Premiums'!A23,'Model SOV'!AY$2:AY$1048576)</f>
        <v>0</v>
      </c>
    </row>
    <row r="24" spans="1:2" x14ac:dyDescent="0.45">
      <c r="A24" s="19" t="s">
        <v>71</v>
      </c>
      <c r="B24" s="20">
        <f>SUMIF('Model SOV'!F$2:F$1048576,'State Premiums'!A24,'Model SOV'!AY$2:AY$1048576)</f>
        <v>0</v>
      </c>
    </row>
    <row r="25" spans="1:2" x14ac:dyDescent="0.45">
      <c r="A25" s="19" t="s">
        <v>119</v>
      </c>
      <c r="B25" s="20">
        <f>SUMIF('Model SOV'!F$2:F$1048576,'State Premiums'!A25,'Model SOV'!AY$2:AY$1048576)</f>
        <v>0</v>
      </c>
    </row>
    <row r="26" spans="1:2" x14ac:dyDescent="0.45">
      <c r="A26" s="19" t="s">
        <v>73</v>
      </c>
      <c r="B26" s="20">
        <f>SUMIF('Model SOV'!F$2:F$1048576,'State Premiums'!A26,'Model SOV'!AY$2:AY$1048576)</f>
        <v>0</v>
      </c>
    </row>
    <row r="27" spans="1:2" x14ac:dyDescent="0.45">
      <c r="A27" s="19" t="s">
        <v>120</v>
      </c>
      <c r="B27" s="20">
        <f>SUMIF('Model SOV'!F$2:F$1048576,'State Premiums'!A27,'Model SOV'!AY$2:AY$1048576)</f>
        <v>0</v>
      </c>
    </row>
    <row r="28" spans="1:2" x14ac:dyDescent="0.45">
      <c r="A28" s="19" t="s">
        <v>121</v>
      </c>
      <c r="B28" s="20">
        <f>SUMIF('Model SOV'!F$2:F$1048576,'State Premiums'!A28,'Model SOV'!AY$2:AY$1048576)</f>
        <v>0</v>
      </c>
    </row>
    <row r="29" spans="1:2" x14ac:dyDescent="0.45">
      <c r="A29" s="19" t="s">
        <v>85</v>
      </c>
      <c r="B29" s="20">
        <f>SUMIF('Model SOV'!F$2:F$1048576,'State Premiums'!A29,'Model SOV'!AY$2:AY$1048576)</f>
        <v>0</v>
      </c>
    </row>
    <row r="30" spans="1:2" x14ac:dyDescent="0.45">
      <c r="A30" s="19" t="s">
        <v>122</v>
      </c>
      <c r="B30" s="20">
        <f>SUMIF('Model SOV'!F$2:F$1048576,'State Premiums'!A30,'Model SOV'!AY$2:AY$1048576)</f>
        <v>0</v>
      </c>
    </row>
    <row r="31" spans="1:2" x14ac:dyDescent="0.45">
      <c r="A31" s="19" t="s">
        <v>95</v>
      </c>
      <c r="B31" s="20">
        <f>SUMIF('Model SOV'!F$2:F$1048576,'State Premiums'!A31,'Model SOV'!AY$2:AY$1048576)</f>
        <v>0</v>
      </c>
    </row>
    <row r="32" spans="1:2" x14ac:dyDescent="0.45">
      <c r="A32" s="19" t="s">
        <v>123</v>
      </c>
      <c r="B32" s="20">
        <f>SUMIF('Model SOV'!F$2:F$1048576,'State Premiums'!A32,'Model SOV'!AY$2:AY$1048576)</f>
        <v>0</v>
      </c>
    </row>
    <row r="33" spans="1:2" x14ac:dyDescent="0.45">
      <c r="A33" s="19" t="s">
        <v>124</v>
      </c>
      <c r="B33" s="20">
        <f>SUMIF('Model SOV'!F$2:F$1048576,'State Premiums'!A33,'Model SOV'!AY$2:AY$1048576)</f>
        <v>0</v>
      </c>
    </row>
    <row r="34" spans="1:2" x14ac:dyDescent="0.45">
      <c r="A34" s="19" t="s">
        <v>125</v>
      </c>
      <c r="B34" s="20">
        <f>SUMIF('Model SOV'!F$2:F$1048576,'State Premiums'!A34,'Model SOV'!AY$2:AY$1048576)</f>
        <v>0</v>
      </c>
    </row>
    <row r="35" spans="1:2" x14ac:dyDescent="0.45">
      <c r="A35" s="19" t="s">
        <v>126</v>
      </c>
      <c r="B35" s="20">
        <f>SUMIF('Model SOV'!F$2:F$1048576,'State Premiums'!A35,'Model SOV'!AY$2:AY$1048576)</f>
        <v>1043.3793927233999</v>
      </c>
    </row>
    <row r="36" spans="1:2" x14ac:dyDescent="0.45">
      <c r="A36" s="19" t="s">
        <v>127</v>
      </c>
      <c r="B36" s="20">
        <f>SUMIF('Model SOV'!F$2:F$1048576,'State Premiums'!A36,'Model SOV'!AY$2:AY$1048576)</f>
        <v>0</v>
      </c>
    </row>
    <row r="37" spans="1:2" x14ac:dyDescent="0.45">
      <c r="A37" s="19" t="s">
        <v>128</v>
      </c>
      <c r="B37" s="20">
        <f>SUMIF('Model SOV'!F$2:F$1048576,'State Premiums'!A37,'Model SOV'!AY$2:AY$1048576)</f>
        <v>0</v>
      </c>
    </row>
    <row r="38" spans="1:2" x14ac:dyDescent="0.45">
      <c r="A38" s="19" t="s">
        <v>129</v>
      </c>
      <c r="B38" s="20">
        <f>SUMIF('Model SOV'!F$2:F$1048576,'State Premiums'!A38,'Model SOV'!AY$2:AY$1048576)</f>
        <v>16082.80172371379</v>
      </c>
    </row>
    <row r="39" spans="1:2" x14ac:dyDescent="0.45">
      <c r="A39" s="19" t="s">
        <v>130</v>
      </c>
      <c r="B39" s="20">
        <f>SUMIF('Model SOV'!F$2:F$1048576,'State Premiums'!A39,'Model SOV'!AY$2:AY$1048576)</f>
        <v>0</v>
      </c>
    </row>
    <row r="40" spans="1:2" x14ac:dyDescent="0.45">
      <c r="A40" s="19" t="s">
        <v>131</v>
      </c>
      <c r="B40" s="20">
        <f>SUMIF('Model SOV'!F$2:F$1048576,'State Premiums'!A40,'Model SOV'!AY$2:AY$1048576)</f>
        <v>948.52672065763625</v>
      </c>
    </row>
    <row r="41" spans="1:2" x14ac:dyDescent="0.45">
      <c r="A41" s="19" t="s">
        <v>132</v>
      </c>
      <c r="B41" s="20">
        <f>SUMIF('Model SOV'!F$2:F$1048576,'State Premiums'!A41,'Model SOV'!AY$2:AY$1048576)</f>
        <v>0</v>
      </c>
    </row>
    <row r="42" spans="1:2" x14ac:dyDescent="0.45">
      <c r="A42" s="19" t="s">
        <v>133</v>
      </c>
      <c r="B42" s="20">
        <f>SUMIF('Model SOV'!F$2:F$1048576,'State Premiums'!A42,'Model SOV'!AY$2:AY$1048576)</f>
        <v>0</v>
      </c>
    </row>
    <row r="43" spans="1:2" x14ac:dyDescent="0.45">
      <c r="A43" s="19" t="s">
        <v>134</v>
      </c>
      <c r="B43" s="20">
        <f>SUMIF('Model SOV'!F$2:F$1048576,'State Premiums'!A43,'Model SOV'!AY$2:AY$1048576)</f>
        <v>0</v>
      </c>
    </row>
    <row r="44" spans="1:2" x14ac:dyDescent="0.45">
      <c r="A44" s="19" t="s">
        <v>135</v>
      </c>
      <c r="B44" s="20">
        <f>SUMIF('Model SOV'!F$2:F$1048576,'State Premiums'!A44,'Model SOV'!AY$2:AY$1048576)</f>
        <v>72851.300736826335</v>
      </c>
    </row>
    <row r="45" spans="1:2" x14ac:dyDescent="0.45">
      <c r="A45" s="19" t="s">
        <v>87</v>
      </c>
      <c r="B45" s="20">
        <f>SUMIF('Model SOV'!F$2:F$1048576,'State Premiums'!A45,'Model SOV'!AY$2:AY$1048576)</f>
        <v>806.24771255899088</v>
      </c>
    </row>
    <row r="46" spans="1:2" x14ac:dyDescent="0.45">
      <c r="A46" s="19" t="s">
        <v>136</v>
      </c>
      <c r="B46" s="20">
        <f>SUMIF('Model SOV'!F$2:F$1048576,'State Premiums'!A46,'Model SOV'!AY$2:AY$1048576)</f>
        <v>0</v>
      </c>
    </row>
    <row r="47" spans="1:2" x14ac:dyDescent="0.45">
      <c r="A47" s="19" t="s">
        <v>90</v>
      </c>
      <c r="B47" s="20">
        <f>SUMIF('Model SOV'!F$2:F$1048576,'State Premiums'!A47,'Model SOV'!AY$2:AY$1048576)</f>
        <v>71.13950404932271</v>
      </c>
    </row>
    <row r="48" spans="1:2" x14ac:dyDescent="0.45">
      <c r="A48" s="19" t="s">
        <v>137</v>
      </c>
      <c r="B48" s="20">
        <f>SUMIF('Model SOV'!F$2:F$1048576,'State Premiums'!A48,'Model SOV'!AY$2:AY$1048576)</f>
        <v>0</v>
      </c>
    </row>
    <row r="49" spans="1:2" x14ac:dyDescent="0.45">
      <c r="A49" s="19" t="s">
        <v>138</v>
      </c>
      <c r="B49" s="20">
        <f>SUMIF('Model SOV'!F$2:F$1048576,'State Premiums'!A49,'Model SOV'!AY$2:AY$1048576)</f>
        <v>71.13950404932271</v>
      </c>
    </row>
    <row r="50" spans="1:2" x14ac:dyDescent="0.45">
      <c r="A50" s="19" t="s">
        <v>139</v>
      </c>
      <c r="B50" s="20">
        <f>SUMIF('Model SOV'!F$2:F$1048576,'State Premiums'!A50,'Model SOV'!AY$2:AY$1048576)</f>
        <v>0</v>
      </c>
    </row>
    <row r="51" spans="1:2" x14ac:dyDescent="0.45">
      <c r="A51" s="19" t="s">
        <v>140</v>
      </c>
      <c r="B51" s="20">
        <f>SUMIF('Model SOV'!F$2:F$1048576,'State Premiums'!A51,'Model SOV'!AY$2:AY$1048576)</f>
        <v>0</v>
      </c>
    </row>
    <row r="52" spans="1:2" x14ac:dyDescent="0.45">
      <c r="A52" s="19" t="s">
        <v>141</v>
      </c>
      <c r="B52" s="20">
        <f>SUMIF('Model SOV'!F$2:F$1048576,'State Premiums'!A52,'Model SOV'!AY$2:AY$1048576)</f>
        <v>0</v>
      </c>
    </row>
    <row r="53" spans="1:2" x14ac:dyDescent="0.45">
      <c r="B53" s="21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SOV</vt:lpstr>
      <vt:lpstr>State Premiums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Kitts-Jensen, Joanna R</dc:creator>
  <cp:lastModifiedBy>Kitts-Jensen, Joanna R</cp:lastModifiedBy>
  <dcterms:created xsi:type="dcterms:W3CDTF">2024-03-11T17:34:32Z</dcterms:created>
  <dcterms:modified xsi:type="dcterms:W3CDTF">2024-03-13T20:10:16Z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2024-03-11T17:34:42Z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1421c46f-2772-4a33-acfb-30d87655fd98</vt:lpwstr>
  </property>
  <property fmtid="{D5CDD505-2E9C-101B-9397-08002B2CF9AE}" pid="8" name="MSIP_Label_38f1469a-2c2a-4aee-b92b-090d4c5468ff_ContentBits">
    <vt:lpwstr>0</vt:lpwstr>
  </property>
</Properties>
</file>