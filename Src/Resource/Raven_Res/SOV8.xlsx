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mcglobal-my.sharepoint.com/personal/mohan_km_icat_com/Documents/Documents/Projects/Raven Regression scripting/Victor US/Src/Resource/Raven_Res/"/>
    </mc:Choice>
  </mc:AlternateContent>
  <xr:revisionPtr revIDLastSave="142" documentId="8_{E5CC5524-986B-4338-AC14-304477B4531C}" xr6:coauthVersionLast="47" xr6:coauthVersionMax="47" xr10:uidLastSave="{88548E5A-13F6-4135-9BCD-88F8DB925AD6}"/>
  <bookViews>
    <workbookView xWindow="-120" yWindow="-120" windowWidth="20730" windowHeight="11160" xr2:uid="{A52D737E-7588-4E00-A8AA-19918FFA86D1}"/>
  </bookViews>
  <sheets>
    <sheet name="Model SOV" sheetId="1" r:id="rId1"/>
    <sheet name="State Premiu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6" i="2"/>
  <c r="B7" i="2"/>
  <c r="B8" i="2"/>
  <c r="B9" i="2"/>
  <c r="B10" i="2"/>
  <c r="B12" i="2"/>
  <c r="B13" i="2"/>
  <c r="B14" i="2"/>
  <c r="B15" i="2"/>
  <c r="B17" i="2"/>
  <c r="B18" i="2"/>
  <c r="B19" i="2"/>
  <c r="B20" i="2"/>
  <c r="B21" i="2"/>
  <c r="B23" i="2"/>
  <c r="B25" i="2"/>
  <c r="B27" i="2"/>
  <c r="B28" i="2"/>
  <c r="B30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6" i="2"/>
  <c r="B48" i="2"/>
  <c r="B49" i="2"/>
  <c r="B50" i="2"/>
  <c r="B51" i="2"/>
  <c r="B52" i="2"/>
  <c r="AY22" i="1" l="1"/>
  <c r="B16" i="2" s="1"/>
  <c r="AY21" i="1"/>
  <c r="B31" i="2" s="1"/>
  <c r="AY20" i="1"/>
  <c r="AY19" i="1"/>
  <c r="AY18" i="1"/>
  <c r="AY17" i="1"/>
  <c r="B47" i="2" s="1"/>
  <c r="AY16" i="1"/>
  <c r="B45" i="2" s="1"/>
  <c r="AY15" i="1"/>
  <c r="B29" i="2" s="1"/>
  <c r="AY14" i="1"/>
  <c r="AY13" i="1"/>
  <c r="AY12" i="1"/>
  <c r="AY11" i="1"/>
  <c r="AY10" i="1"/>
  <c r="AY9" i="1"/>
  <c r="P9" i="1"/>
  <c r="AY8" i="1"/>
  <c r="AY7" i="1"/>
  <c r="AY6" i="1"/>
  <c r="B24" i="2" s="1"/>
  <c r="AY3" i="1"/>
  <c r="P3" i="1"/>
  <c r="AY2" i="1"/>
  <c r="B3" i="2" s="1"/>
  <c r="B26" i="2" l="1"/>
  <c r="AY5" i="1"/>
  <c r="B22" i="2" s="1"/>
  <c r="AY4" i="1"/>
  <c r="B11" i="2" s="1"/>
</calcChain>
</file>

<file path=xl/sharedStrings.xml><?xml version="1.0" encoding="utf-8"?>
<sst xmlns="http://schemas.openxmlformats.org/spreadsheetml/2006/main" count="612" uniqueCount="188">
  <si>
    <t>Uniq ID</t>
  </si>
  <si>
    <t>Location Number</t>
  </si>
  <si>
    <t>Address 1</t>
  </si>
  <si>
    <t>Address 2</t>
  </si>
  <si>
    <t>City</t>
  </si>
  <si>
    <t>State</t>
  </si>
  <si>
    <t>Zip Code (5 digit)</t>
  </si>
  <si>
    <t>Zip Code (4 digit)</t>
  </si>
  <si>
    <t>Latitude</t>
  </si>
  <si>
    <t>Longitude</t>
  </si>
  <si>
    <t>Real Property Value</t>
  </si>
  <si>
    <t>Personal Property (BPP) Value</t>
  </si>
  <si>
    <t>Business Income Limit</t>
  </si>
  <si>
    <t>Year Built</t>
  </si>
  <si>
    <t>Number of Stories</t>
  </si>
  <si>
    <t>Square Feet</t>
  </si>
  <si>
    <t># of Buildings</t>
  </si>
  <si>
    <t>Construction Class</t>
  </si>
  <si>
    <t>NAIC Code</t>
  </si>
  <si>
    <t>Occupancy Description</t>
  </si>
  <si>
    <t>Insured's Interest</t>
  </si>
  <si>
    <t>Inspection Contact</t>
  </si>
  <si>
    <t>Inspection Phone</t>
  </si>
  <si>
    <t>Cladding Type</t>
  </si>
  <si>
    <t>Roof Equipment</t>
  </si>
  <si>
    <t>Roof Geometry</t>
  </si>
  <si>
    <t>Roof System Covering</t>
  </si>
  <si>
    <t>Roof Anchor</t>
  </si>
  <si>
    <t>Roof Coverage</t>
  </si>
  <si>
    <t>Roof Year Built</t>
  </si>
  <si>
    <t>Opening Protection</t>
  </si>
  <si>
    <t>Building Year Upgrade</t>
  </si>
  <si>
    <t>Soft Story</t>
  </si>
  <si>
    <t>Building Shape</t>
  </si>
  <si>
    <t>Vertical Irregularity</t>
  </si>
  <si>
    <t>Wall Type</t>
  </si>
  <si>
    <t>Earthquake Retrofit</t>
  </si>
  <si>
    <t>Security</t>
  </si>
  <si>
    <t>Fire Protection</t>
  </si>
  <si>
    <t>Protection Class</t>
  </si>
  <si>
    <t>% Occupancy</t>
  </si>
  <si>
    <t>Avg Monthly Rental Value</t>
  </si>
  <si>
    <t>Base Flood Elevation</t>
  </si>
  <si>
    <t>Custom Elevation</t>
  </si>
  <si>
    <t>Custom Flood Zone</t>
  </si>
  <si>
    <t>Defensible Space</t>
  </si>
  <si>
    <t>Roof Hail Impact Resistance</t>
  </si>
  <si>
    <t>Glass Percentage</t>
  </si>
  <si>
    <t>Cat Premium</t>
  </si>
  <si>
    <t>AOP Premium</t>
  </si>
  <si>
    <t>Total Premium</t>
  </si>
  <si>
    <t>A</t>
  </si>
  <si>
    <t>US Hwy 280 &amp; Cahaba Beach Road</t>
  </si>
  <si>
    <t>Suite #435</t>
  </si>
  <si>
    <t>Hoover</t>
  </si>
  <si>
    <t>AL</t>
  </si>
  <si>
    <t>Frame</t>
  </si>
  <si>
    <t>Residential: Condominiums</t>
  </si>
  <si>
    <t>Lessor</t>
  </si>
  <si>
    <t>ASC</t>
  </si>
  <si>
    <t>800-867-5309</t>
  </si>
  <si>
    <t>Unknown</t>
  </si>
  <si>
    <t>Present</t>
  </si>
  <si>
    <t>Flat</t>
  </si>
  <si>
    <t>Metal</t>
  </si>
  <si>
    <t>RC</t>
  </si>
  <si>
    <t>No</t>
  </si>
  <si>
    <t xml:space="preserve">Regular </t>
  </si>
  <si>
    <t>100 feet</t>
  </si>
  <si>
    <t>Class B</t>
  </si>
  <si>
    <t>&lt;5%</t>
  </si>
  <si>
    <t>B</t>
  </si>
  <si>
    <t>9520 Parkway East</t>
  </si>
  <si>
    <t>Birmingham</t>
  </si>
  <si>
    <t>C</t>
  </si>
  <si>
    <t>18500-18714 Veterans Blvd.</t>
  </si>
  <si>
    <t>Port Charlotte</t>
  </si>
  <si>
    <t>FL</t>
  </si>
  <si>
    <t>D</t>
  </si>
  <si>
    <t>7928, 7930, 7938  Eastern Ave</t>
  </si>
  <si>
    <t>Baltimore</t>
  </si>
  <si>
    <t>MD</t>
  </si>
  <si>
    <t>E</t>
  </si>
  <si>
    <t>13417-13701 Middlebelt Rd.</t>
  </si>
  <si>
    <t>Livonia</t>
  </si>
  <si>
    <t>MI</t>
  </si>
  <si>
    <t>F</t>
  </si>
  <si>
    <t>9901 Watson Rd</t>
  </si>
  <si>
    <t>St. Louis</t>
  </si>
  <si>
    <t>MO</t>
  </si>
  <si>
    <t>G</t>
  </si>
  <si>
    <t>15425-15429  Clayton Rd</t>
  </si>
  <si>
    <t>Ballwin</t>
  </si>
  <si>
    <t>Non-Combustible</t>
  </si>
  <si>
    <t>H</t>
  </si>
  <si>
    <t>15445-15495 Clayton Rd</t>
  </si>
  <si>
    <t>Unit B</t>
  </si>
  <si>
    <t>Masonry Non-Combustible</t>
  </si>
  <si>
    <t>I</t>
  </si>
  <si>
    <t>10403-10443 West Florissant Ave</t>
  </si>
  <si>
    <t>Joisted Masonry</t>
  </si>
  <si>
    <t>J</t>
  </si>
  <si>
    <t xml:space="preserve">3809-3865 Lemay Ferry Rd. </t>
  </si>
  <si>
    <t>K</t>
  </si>
  <si>
    <t>10650-10680 St. Charles Rock Road</t>
  </si>
  <si>
    <t>St. Ann</t>
  </si>
  <si>
    <t>L</t>
  </si>
  <si>
    <t>10700-10718 St. Charles Rock Road</t>
  </si>
  <si>
    <t>Zone X</t>
  </si>
  <si>
    <t>M</t>
  </si>
  <si>
    <t>9986 Manchester Rd.</t>
  </si>
  <si>
    <t xml:space="preserve">Commercial: Retail  </t>
  </si>
  <si>
    <t>Built-up/Single ply</t>
  </si>
  <si>
    <t>Irregular</t>
  </si>
  <si>
    <t>N</t>
  </si>
  <si>
    <t>6701 Morrison Blvd</t>
  </si>
  <si>
    <t>Charlotte</t>
  </si>
  <si>
    <t>NC</t>
  </si>
  <si>
    <t>O</t>
  </si>
  <si>
    <t>8181 Jetstar</t>
  </si>
  <si>
    <t>Suite #2B</t>
  </si>
  <si>
    <t>Irving</t>
  </si>
  <si>
    <t>TX</t>
  </si>
  <si>
    <t>ACV</t>
  </si>
  <si>
    <t>P</t>
  </si>
  <si>
    <t>8301-8359 Leesburg Pike</t>
  </si>
  <si>
    <t>Vienna</t>
  </si>
  <si>
    <t>VA</t>
  </si>
  <si>
    <t>Q</t>
  </si>
  <si>
    <t>2300-2485 Prince William Pkwy &amp; 14001-14189 Crossing Place</t>
  </si>
  <si>
    <t>Woodbridge</t>
  </si>
  <si>
    <t>R</t>
  </si>
  <si>
    <t>4400-4498 Lemay Ferry</t>
  </si>
  <si>
    <t xml:space="preserve">Commercial: Wholesale  </t>
  </si>
  <si>
    <t>Unreinforced Masonry</t>
  </si>
  <si>
    <t>Foundation Bolting</t>
  </si>
  <si>
    <t>S</t>
  </si>
  <si>
    <t>1018 N. Kirkwood</t>
  </si>
  <si>
    <t>Kirkwood</t>
  </si>
  <si>
    <t>T</t>
  </si>
  <si>
    <t>14949 Evans Plaza</t>
  </si>
  <si>
    <t>Omaha</t>
  </si>
  <si>
    <t>NE</t>
  </si>
  <si>
    <t>U</t>
  </si>
  <si>
    <t>4955 Dempster Street</t>
  </si>
  <si>
    <t>Skokie</t>
  </si>
  <si>
    <t>IL</t>
  </si>
  <si>
    <t>AK</t>
  </si>
  <si>
    <t>AR</t>
  </si>
  <si>
    <t>AZ</t>
  </si>
  <si>
    <t>CA</t>
  </si>
  <si>
    <t>CO</t>
  </si>
  <si>
    <t>CT</t>
  </si>
  <si>
    <t>DC</t>
  </si>
  <si>
    <t>DE</t>
  </si>
  <si>
    <t>GA</t>
  </si>
  <si>
    <t>HI</t>
  </si>
  <si>
    <t>IA</t>
  </si>
  <si>
    <t>ID</t>
  </si>
  <si>
    <t>IN</t>
  </si>
  <si>
    <t>KS</t>
  </si>
  <si>
    <t>KY</t>
  </si>
  <si>
    <t>LA</t>
  </si>
  <si>
    <t>MA</t>
  </si>
  <si>
    <t>ME</t>
  </si>
  <si>
    <t>MN</t>
  </si>
  <si>
    <t>MS</t>
  </si>
  <si>
    <t>MT</t>
  </si>
  <si>
    <t>ND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</si>
  <si>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</si>
  <si>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</si>
  <si>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</si>
  <si>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</si>
  <si>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</si>
  <si>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</si>
  <si>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</si>
  <si>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</si>
  <si>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</si>
  <si>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</si>
  <si>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</si>
  <si>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</si>
  <si>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</si>
  <si>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UT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</si>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</sst>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0"/>
    <numFmt numFmtId="165" formatCode="&quot;$&quot;#,##0.0_);\(&quot;$&quot;#,##0.0\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8"/>
      <color rgb="FFFFFFFF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FF9933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6" fontId="4" fillId="0" borderId="1" xfId="0" quotePrefix="1" applyNumberFormat="1" applyFont="1" applyBorder="1" applyAlignment="1">
      <alignment horizontal="center" vertical="center" wrapText="1"/>
    </xf>
    <xf numFmtId="37" fontId="4" fillId="0" borderId="1" xfId="1" applyNumberFormat="1" applyFont="1" applyFill="1" applyBorder="1" applyAlignment="1">
      <alignment horizontal="center" vertical="center" wrapText="1"/>
    </xf>
    <xf numFmtId="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6" fillId="12" borderId="1" xfId="0" applyFont="1" applyFill="1" applyBorder="1" applyAlignment="1">
      <alignment horizontal="center" vertical="top" wrapText="1"/>
    </xf>
    <xf numFmtId="5" fontId="0" fillId="0" borderId="0" xfId="0" applyNumberFormat="1" applyAlignment="1">
      <alignment horizontal="center"/>
    </xf>
    <xf numFmtId="165" fontId="0" fillId="0" borderId="1" xfId="2" applyNumberFormat="1" applyFont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EF3A9-9DCE-4DC8-A2BF-6941F61AC803}">
  <dimension ref="A1:AY23"/>
  <sheetViews>
    <sheetView tabSelected="1" zoomScale="55" zoomScaleNormal="55" workbookViewId="0">
      <selection activeCell="AY2" sqref="AY2:AY22"/>
    </sheetView>
  </sheetViews>
  <sheetFormatPr defaultColWidth="8.7109375" defaultRowHeight="15" x14ac:dyDescent="0.25"/>
  <cols>
    <col min="1" max="1" width="6" style="13" bestFit="1" customWidth="1"/>
    <col min="2" max="2" width="13.85546875" style="13" bestFit="1" customWidth="1"/>
    <col min="3" max="3" width="53.140625" style="20" bestFit="1" customWidth="1"/>
    <col min="4" max="17" width="15.7109375" style="13" customWidth="1"/>
    <col min="18" max="18" width="24" style="13" customWidth="1"/>
    <col min="19" max="19" width="15.7109375" style="13" customWidth="1"/>
    <col min="20" max="20" width="25.5703125" style="13" customWidth="1"/>
    <col min="21" max="26" width="15.7109375" style="13" customWidth="1"/>
    <col min="27" max="27" width="17" style="13" customWidth="1"/>
    <col min="28" max="35" width="15.7109375" style="13" customWidth="1"/>
    <col min="36" max="36" width="20" style="13" customWidth="1"/>
    <col min="37" max="37" width="17.28515625" style="13" customWidth="1"/>
    <col min="38" max="44" width="15.7109375" style="13" customWidth="1"/>
    <col min="45" max="45" width="24.85546875" style="13" customWidth="1"/>
    <col min="46" max="51" width="15.7109375" style="13" customWidth="1"/>
    <col min="52" max="16384" width="8.7109375" style="12"/>
  </cols>
  <sheetData>
    <row r="1" spans="1:51" ht="22.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1" t="s">
        <v>21</v>
      </c>
      <c r="W1" s="1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10" t="s">
        <v>46</v>
      </c>
      <c r="AV1" s="10" t="s">
        <v>47</v>
      </c>
      <c r="AW1" s="11" t="s">
        <v>48</v>
      </c>
      <c r="AX1" s="11" t="s">
        <v>49</v>
      </c>
      <c r="AY1" s="11" t="s">
        <v>50</v>
      </c>
    </row>
    <row r="2" spans="1:51" x14ac:dyDescent="0.25">
      <c r="A2" s="13" t="s">
        <v>51</v>
      </c>
      <c r="B2" s="13">
        <v>1</v>
      </c>
      <c r="C2" s="14" t="s">
        <v>52</v>
      </c>
      <c r="D2" s="13" t="s">
        <v>53</v>
      </c>
      <c r="E2" s="15" t="s">
        <v>54</v>
      </c>
      <c r="F2" s="15" t="s">
        <v>55</v>
      </c>
      <c r="G2" s="16">
        <v>35242</v>
      </c>
      <c r="K2" s="17">
        <v>20864400</v>
      </c>
      <c r="M2" s="17">
        <v>1534000</v>
      </c>
      <c r="N2" s="15">
        <v>2004</v>
      </c>
      <c r="O2" s="13">
        <v>1</v>
      </c>
      <c r="P2" s="18">
        <v>127256</v>
      </c>
      <c r="Q2" s="13">
        <v>1</v>
      </c>
      <c r="R2" s="13" t="s">
        <v>56</v>
      </c>
      <c r="S2" s="13">
        <v>813990</v>
      </c>
      <c r="T2" s="13" t="s">
        <v>57</v>
      </c>
      <c r="U2" s="13" t="s">
        <v>58</v>
      </c>
      <c r="V2" s="13" t="s">
        <v>59</v>
      </c>
      <c r="W2" s="13" t="s">
        <v>60</v>
      </c>
      <c r="X2" s="13" t="s">
        <v>61</v>
      </c>
      <c r="Y2" s="13" t="s">
        <v>62</v>
      </c>
      <c r="Z2" s="13" t="s">
        <v>63</v>
      </c>
      <c r="AA2" s="13" t="s">
        <v>64</v>
      </c>
      <c r="AB2" s="13" t="s">
        <v>61</v>
      </c>
      <c r="AC2" s="13" t="s">
        <v>65</v>
      </c>
      <c r="AD2" s="15">
        <v>2004</v>
      </c>
      <c r="AE2" s="13" t="s">
        <v>61</v>
      </c>
      <c r="AF2" s="15">
        <v>2004</v>
      </c>
      <c r="AG2" s="13" t="s">
        <v>66</v>
      </c>
      <c r="AH2" s="13" t="s">
        <v>67</v>
      </c>
      <c r="AI2" s="13" t="s">
        <v>66</v>
      </c>
      <c r="AJ2" s="13" t="s">
        <v>61</v>
      </c>
      <c r="AK2" s="13" t="s">
        <v>61</v>
      </c>
      <c r="AN2" s="13">
        <v>4</v>
      </c>
      <c r="AT2" s="13" t="s">
        <v>68</v>
      </c>
      <c r="AU2" s="13" t="s">
        <v>69</v>
      </c>
      <c r="AV2" s="13" t="s">
        <v>70</v>
      </c>
      <c r="AW2" s="19">
        <v>9568.5100732431783</v>
      </c>
      <c r="AX2" s="19">
        <v>8101.795666291534</v>
      </c>
      <c r="AY2" s="19">
        <f>SUM(AW2:AX2)</f>
        <v>17670.305739534713</v>
      </c>
    </row>
    <row r="3" spans="1:51" x14ac:dyDescent="0.25">
      <c r="A3" s="13" t="s">
        <v>71</v>
      </c>
      <c r="B3" s="13">
        <v>2</v>
      </c>
      <c r="C3" s="14" t="s">
        <v>72</v>
      </c>
      <c r="E3" s="15" t="s">
        <v>73</v>
      </c>
      <c r="F3" s="15" t="s">
        <v>55</v>
      </c>
      <c r="G3" s="15">
        <v>35215</v>
      </c>
      <c r="K3" s="17">
        <v>18952000</v>
      </c>
      <c r="M3" s="17">
        <v>897000</v>
      </c>
      <c r="N3" s="15">
        <v>1967</v>
      </c>
      <c r="O3" s="13">
        <v>1</v>
      </c>
      <c r="P3" s="18">
        <f>137817-9730</f>
        <v>128087</v>
      </c>
      <c r="Q3" s="13">
        <v>1</v>
      </c>
      <c r="R3" s="13" t="s">
        <v>56</v>
      </c>
      <c r="S3" s="13">
        <v>813990</v>
      </c>
      <c r="T3" s="13" t="s">
        <v>57</v>
      </c>
      <c r="U3" s="13" t="s">
        <v>58</v>
      </c>
      <c r="V3" s="13" t="s">
        <v>59</v>
      </c>
      <c r="W3" s="13" t="s">
        <v>60</v>
      </c>
      <c r="X3" s="13" t="s">
        <v>61</v>
      </c>
      <c r="Y3" s="13" t="s">
        <v>62</v>
      </c>
      <c r="Z3" s="13" t="s">
        <v>63</v>
      </c>
      <c r="AA3" s="13" t="s">
        <v>64</v>
      </c>
      <c r="AB3" s="13" t="s">
        <v>61</v>
      </c>
      <c r="AC3" s="13" t="s">
        <v>65</v>
      </c>
      <c r="AD3" s="15">
        <v>2010</v>
      </c>
      <c r="AE3" s="13" t="s">
        <v>61</v>
      </c>
      <c r="AF3" s="15">
        <v>1967</v>
      </c>
      <c r="AG3" s="13" t="s">
        <v>66</v>
      </c>
      <c r="AH3" s="13" t="s">
        <v>67</v>
      </c>
      <c r="AI3" s="13" t="s">
        <v>66</v>
      </c>
      <c r="AJ3" s="13" t="s">
        <v>61</v>
      </c>
      <c r="AK3" s="13" t="s">
        <v>61</v>
      </c>
      <c r="AN3" s="13">
        <v>4</v>
      </c>
      <c r="AT3" s="13" t="s">
        <v>68</v>
      </c>
      <c r="AU3" s="13" t="s">
        <v>69</v>
      </c>
      <c r="AV3" s="13" t="s">
        <v>70</v>
      </c>
      <c r="AW3" s="19">
        <v>8479.4162281146801</v>
      </c>
      <c r="AX3" s="19">
        <v>7179.6441790583549</v>
      </c>
      <c r="AY3" s="19">
        <f t="shared" ref="AY3:AY22" si="0">SUM(AW3:AX3)</f>
        <v>15659.060407173034</v>
      </c>
    </row>
    <row r="4" spans="1:51" x14ac:dyDescent="0.25">
      <c r="A4" s="13" t="s">
        <v>74</v>
      </c>
      <c r="B4" s="13">
        <v>3</v>
      </c>
      <c r="C4" s="14" t="s">
        <v>75</v>
      </c>
      <c r="E4" s="15" t="s">
        <v>76</v>
      </c>
      <c r="F4" s="15" t="s">
        <v>77</v>
      </c>
      <c r="G4" s="15">
        <v>33954</v>
      </c>
      <c r="K4" s="17">
        <v>20937800</v>
      </c>
      <c r="M4" s="17">
        <v>1974000</v>
      </c>
      <c r="N4" s="15">
        <v>1999</v>
      </c>
      <c r="O4" s="13">
        <v>1</v>
      </c>
      <c r="P4" s="18">
        <v>139863</v>
      </c>
      <c r="Q4" s="13">
        <v>1</v>
      </c>
      <c r="R4" s="13" t="s">
        <v>56</v>
      </c>
      <c r="S4" s="13">
        <v>813990</v>
      </c>
      <c r="T4" s="13" t="s">
        <v>57</v>
      </c>
      <c r="U4" s="13" t="s">
        <v>58</v>
      </c>
      <c r="V4" s="13" t="s">
        <v>59</v>
      </c>
      <c r="W4" s="13" t="s">
        <v>60</v>
      </c>
      <c r="X4" s="13" t="s">
        <v>61</v>
      </c>
      <c r="Y4" s="13" t="s">
        <v>62</v>
      </c>
      <c r="Z4" s="13" t="s">
        <v>63</v>
      </c>
      <c r="AA4" s="13" t="s">
        <v>64</v>
      </c>
      <c r="AB4" s="13" t="s">
        <v>61</v>
      </c>
      <c r="AC4" s="13" t="s">
        <v>65</v>
      </c>
      <c r="AD4" s="15">
        <v>2010</v>
      </c>
      <c r="AE4" s="13" t="s">
        <v>61</v>
      </c>
      <c r="AF4" s="15">
        <v>1999</v>
      </c>
      <c r="AG4" s="13" t="s">
        <v>66</v>
      </c>
      <c r="AH4" s="13" t="s">
        <v>67</v>
      </c>
      <c r="AI4" s="13" t="s">
        <v>66</v>
      </c>
      <c r="AJ4" s="13" t="s">
        <v>61</v>
      </c>
      <c r="AK4" s="13" t="s">
        <v>61</v>
      </c>
      <c r="AN4" s="13">
        <v>4</v>
      </c>
      <c r="AT4" s="13" t="s">
        <v>68</v>
      </c>
      <c r="AU4" s="13" t="s">
        <v>69</v>
      </c>
      <c r="AV4" s="13" t="s">
        <v>70</v>
      </c>
      <c r="AW4" s="19">
        <v>9787.8325726897037</v>
      </c>
      <c r="AX4" s="19">
        <v>8287.4991940021773</v>
      </c>
      <c r="AY4" s="19">
        <f t="shared" si="0"/>
        <v>18075.331766691881</v>
      </c>
    </row>
    <row r="5" spans="1:51" x14ac:dyDescent="0.25">
      <c r="A5" s="13" t="s">
        <v>78</v>
      </c>
      <c r="B5" s="13">
        <v>4</v>
      </c>
      <c r="C5" s="14" t="s">
        <v>79</v>
      </c>
      <c r="E5" s="15" t="s">
        <v>80</v>
      </c>
      <c r="F5" s="15" t="s">
        <v>81</v>
      </c>
      <c r="G5" s="16">
        <v>21224</v>
      </c>
      <c r="K5" s="17">
        <v>21392600</v>
      </c>
      <c r="M5" s="17">
        <v>1708000</v>
      </c>
      <c r="N5" s="15">
        <v>1964</v>
      </c>
      <c r="O5" s="13">
        <v>1</v>
      </c>
      <c r="P5" s="18">
        <v>132807</v>
      </c>
      <c r="Q5" s="13">
        <v>1</v>
      </c>
      <c r="R5" s="13" t="s">
        <v>56</v>
      </c>
      <c r="S5" s="13">
        <v>813990</v>
      </c>
      <c r="T5" s="13" t="s">
        <v>57</v>
      </c>
      <c r="U5" s="13" t="s">
        <v>58</v>
      </c>
      <c r="V5" s="13" t="s">
        <v>59</v>
      </c>
      <c r="W5" s="13" t="s">
        <v>60</v>
      </c>
      <c r="X5" s="13" t="s">
        <v>61</v>
      </c>
      <c r="Y5" s="13" t="s">
        <v>62</v>
      </c>
      <c r="Z5" s="13" t="s">
        <v>63</v>
      </c>
      <c r="AA5" s="13" t="s">
        <v>64</v>
      </c>
      <c r="AB5" s="13" t="s">
        <v>61</v>
      </c>
      <c r="AC5" s="13" t="s">
        <v>65</v>
      </c>
      <c r="AD5" s="15">
        <v>2010</v>
      </c>
      <c r="AE5" s="13" t="s">
        <v>61</v>
      </c>
      <c r="AF5" s="15">
        <v>1964</v>
      </c>
      <c r="AG5" s="13" t="s">
        <v>66</v>
      </c>
      <c r="AH5" s="13" t="s">
        <v>67</v>
      </c>
      <c r="AI5" s="13" t="s">
        <v>66</v>
      </c>
      <c r="AJ5" s="13" t="s">
        <v>61</v>
      </c>
      <c r="AK5" s="13" t="s">
        <v>61</v>
      </c>
      <c r="AN5" s="13">
        <v>4</v>
      </c>
      <c r="AQ5" s="13">
        <v>12</v>
      </c>
      <c r="AT5" s="13" t="s">
        <v>68</v>
      </c>
      <c r="AU5" s="13" t="s">
        <v>69</v>
      </c>
      <c r="AV5" s="13" t="s">
        <v>70</v>
      </c>
      <c r="AW5" s="19">
        <v>9868.4872043521573</v>
      </c>
      <c r="AX5" s="19">
        <v>8355.7906354353072</v>
      </c>
      <c r="AY5" s="19">
        <f t="shared" si="0"/>
        <v>18224.277839787464</v>
      </c>
    </row>
    <row r="6" spans="1:51" x14ac:dyDescent="0.25">
      <c r="A6" s="13" t="s">
        <v>82</v>
      </c>
      <c r="B6" s="13">
        <v>5</v>
      </c>
      <c r="C6" s="14" t="s">
        <v>83</v>
      </c>
      <c r="E6" s="15" t="s">
        <v>84</v>
      </c>
      <c r="F6" s="15" t="s">
        <v>85</v>
      </c>
      <c r="G6" s="16">
        <v>48150</v>
      </c>
      <c r="K6" s="17">
        <v>25012100</v>
      </c>
      <c r="M6" s="17">
        <v>2434000</v>
      </c>
      <c r="N6" s="15">
        <v>1963</v>
      </c>
      <c r="O6" s="13">
        <v>1</v>
      </c>
      <c r="P6" s="18">
        <v>148889</v>
      </c>
      <c r="Q6" s="13">
        <v>1</v>
      </c>
      <c r="R6" s="13" t="s">
        <v>56</v>
      </c>
      <c r="S6" s="13">
        <v>813990</v>
      </c>
      <c r="T6" s="13" t="s">
        <v>57</v>
      </c>
      <c r="U6" s="13" t="s">
        <v>58</v>
      </c>
      <c r="V6" s="13" t="s">
        <v>59</v>
      </c>
      <c r="W6" s="13" t="s">
        <v>60</v>
      </c>
      <c r="X6" s="13" t="s">
        <v>61</v>
      </c>
      <c r="Y6" s="13" t="s">
        <v>62</v>
      </c>
      <c r="Z6" s="13" t="s">
        <v>63</v>
      </c>
      <c r="AA6" s="13" t="s">
        <v>64</v>
      </c>
      <c r="AB6" s="13" t="s">
        <v>61</v>
      </c>
      <c r="AC6" s="13" t="s">
        <v>65</v>
      </c>
      <c r="AD6" s="15">
        <v>2004</v>
      </c>
      <c r="AE6" s="13" t="s">
        <v>61</v>
      </c>
      <c r="AF6" s="15">
        <v>2004</v>
      </c>
      <c r="AG6" s="13" t="s">
        <v>66</v>
      </c>
      <c r="AH6" s="13" t="s">
        <v>67</v>
      </c>
      <c r="AI6" s="13" t="s">
        <v>66</v>
      </c>
      <c r="AJ6" s="13" t="s">
        <v>61</v>
      </c>
      <c r="AK6" s="13" t="s">
        <v>61</v>
      </c>
      <c r="AN6" s="13">
        <v>4</v>
      </c>
      <c r="AT6" s="13" t="s">
        <v>68</v>
      </c>
      <c r="AU6" s="13" t="s">
        <v>69</v>
      </c>
      <c r="AV6" s="13" t="s">
        <v>70</v>
      </c>
      <c r="AW6" s="19">
        <v>11724.86804062967</v>
      </c>
      <c r="AX6" s="19">
        <v>9927.6150991411905</v>
      </c>
      <c r="AY6" s="19">
        <f t="shared" si="0"/>
        <v>21652.483139770862</v>
      </c>
    </row>
    <row r="7" spans="1:51" x14ac:dyDescent="0.25">
      <c r="A7" s="13" t="s">
        <v>86</v>
      </c>
      <c r="B7" s="13">
        <v>6</v>
      </c>
      <c r="C7" s="14" t="s">
        <v>87</v>
      </c>
      <c r="E7" s="15" t="s">
        <v>88</v>
      </c>
      <c r="F7" s="15" t="s">
        <v>89</v>
      </c>
      <c r="G7" s="16">
        <v>63126</v>
      </c>
      <c r="K7" s="17">
        <v>10831000</v>
      </c>
      <c r="M7" s="17">
        <v>864300</v>
      </c>
      <c r="N7" s="15">
        <v>1985</v>
      </c>
      <c r="O7" s="13">
        <v>1</v>
      </c>
      <c r="P7" s="18">
        <v>76730</v>
      </c>
      <c r="Q7" s="13">
        <v>1</v>
      </c>
      <c r="R7" s="13" t="s">
        <v>56</v>
      </c>
      <c r="S7" s="13">
        <v>813990</v>
      </c>
      <c r="T7" s="13" t="s">
        <v>57</v>
      </c>
      <c r="U7" s="13" t="s">
        <v>58</v>
      </c>
      <c r="V7" s="13" t="s">
        <v>59</v>
      </c>
      <c r="W7" s="13" t="s">
        <v>60</v>
      </c>
      <c r="X7" s="13" t="s">
        <v>61</v>
      </c>
      <c r="Y7" s="13" t="s">
        <v>62</v>
      </c>
      <c r="Z7" s="13" t="s">
        <v>63</v>
      </c>
      <c r="AA7" s="13" t="s">
        <v>64</v>
      </c>
      <c r="AB7" s="13" t="s">
        <v>61</v>
      </c>
      <c r="AC7" s="13" t="s">
        <v>65</v>
      </c>
      <c r="AD7" s="15">
        <v>2004</v>
      </c>
      <c r="AE7" s="13" t="s">
        <v>61</v>
      </c>
      <c r="AF7" s="15">
        <v>1985</v>
      </c>
      <c r="AG7" s="13" t="s">
        <v>66</v>
      </c>
      <c r="AH7" s="13" t="s">
        <v>67</v>
      </c>
      <c r="AI7" s="13" t="s">
        <v>66</v>
      </c>
      <c r="AJ7" s="13" t="s">
        <v>61</v>
      </c>
      <c r="AK7" s="13" t="s">
        <v>61</v>
      </c>
      <c r="AN7" s="13">
        <v>4</v>
      </c>
      <c r="AT7" s="13" t="s">
        <v>68</v>
      </c>
      <c r="AU7" s="13" t="s">
        <v>69</v>
      </c>
      <c r="AV7" s="13" t="s">
        <v>70</v>
      </c>
      <c r="AW7" s="19">
        <v>4996.1870428066713</v>
      </c>
      <c r="AX7" s="19">
        <v>4230.3437234793273</v>
      </c>
      <c r="AY7" s="19">
        <f t="shared" si="0"/>
        <v>9226.5307662859996</v>
      </c>
    </row>
    <row r="8" spans="1:51" x14ac:dyDescent="0.25">
      <c r="A8" s="13" t="s">
        <v>90</v>
      </c>
      <c r="B8" s="13">
        <v>7</v>
      </c>
      <c r="C8" s="14" t="s">
        <v>91</v>
      </c>
      <c r="E8" s="15" t="s">
        <v>92</v>
      </c>
      <c r="F8" s="15" t="s">
        <v>89</v>
      </c>
      <c r="G8" s="16">
        <v>63011</v>
      </c>
      <c r="K8" s="17">
        <v>3552800</v>
      </c>
      <c r="M8" s="17"/>
      <c r="N8" s="15">
        <v>1963</v>
      </c>
      <c r="O8" s="13">
        <v>1</v>
      </c>
      <c r="P8" s="18">
        <v>26000</v>
      </c>
      <c r="Q8" s="13">
        <v>1</v>
      </c>
      <c r="R8" s="13" t="s">
        <v>93</v>
      </c>
      <c r="S8" s="13">
        <v>813990</v>
      </c>
      <c r="T8" s="13" t="s">
        <v>57</v>
      </c>
      <c r="U8" s="13" t="s">
        <v>58</v>
      </c>
      <c r="V8" s="13" t="s">
        <v>59</v>
      </c>
      <c r="W8" s="13" t="s">
        <v>60</v>
      </c>
      <c r="X8" s="13" t="s">
        <v>61</v>
      </c>
      <c r="Y8" s="13" t="s">
        <v>62</v>
      </c>
      <c r="Z8" s="13" t="s">
        <v>63</v>
      </c>
      <c r="AA8" s="13" t="s">
        <v>64</v>
      </c>
      <c r="AB8" s="13" t="s">
        <v>61</v>
      </c>
      <c r="AC8" s="13" t="s">
        <v>65</v>
      </c>
      <c r="AD8" s="15">
        <v>2003</v>
      </c>
      <c r="AE8" s="13" t="s">
        <v>61</v>
      </c>
      <c r="AF8" s="15">
        <v>1963</v>
      </c>
      <c r="AG8" s="13" t="s">
        <v>66</v>
      </c>
      <c r="AH8" s="13" t="s">
        <v>67</v>
      </c>
      <c r="AI8" s="13" t="s">
        <v>66</v>
      </c>
      <c r="AJ8" s="13" t="s">
        <v>61</v>
      </c>
      <c r="AK8" s="13" t="s">
        <v>61</v>
      </c>
      <c r="AN8" s="13">
        <v>4</v>
      </c>
      <c r="AT8" s="13" t="s">
        <v>68</v>
      </c>
      <c r="AU8" s="13" t="s">
        <v>69</v>
      </c>
      <c r="AV8" s="13" t="s">
        <v>70</v>
      </c>
      <c r="AW8" s="19">
        <v>1517.7424542921979</v>
      </c>
      <c r="AX8" s="19">
        <v>1285.0944551039611</v>
      </c>
      <c r="AY8" s="19">
        <f t="shared" si="0"/>
        <v>2802.8369093961592</v>
      </c>
    </row>
    <row r="9" spans="1:51" x14ac:dyDescent="0.25">
      <c r="A9" s="13" t="s">
        <v>94</v>
      </c>
      <c r="B9" s="13">
        <v>8</v>
      </c>
      <c r="C9" s="14" t="s">
        <v>95</v>
      </c>
      <c r="D9" s="13" t="s">
        <v>96</v>
      </c>
      <c r="E9" s="15" t="s">
        <v>92</v>
      </c>
      <c r="F9" s="15" t="s">
        <v>89</v>
      </c>
      <c r="G9" s="16">
        <v>63011</v>
      </c>
      <c r="K9" s="17">
        <v>7504000</v>
      </c>
      <c r="M9" s="17">
        <v>525900</v>
      </c>
      <c r="N9" s="15">
        <v>1980</v>
      </c>
      <c r="O9" s="13">
        <v>1</v>
      </c>
      <c r="P9" s="18">
        <f>71133-26000</f>
        <v>45133</v>
      </c>
      <c r="Q9" s="13">
        <v>1</v>
      </c>
      <c r="R9" s="13" t="s">
        <v>97</v>
      </c>
      <c r="S9" s="13">
        <v>813990</v>
      </c>
      <c r="T9" s="13" t="s">
        <v>57</v>
      </c>
      <c r="U9" s="13" t="s">
        <v>58</v>
      </c>
      <c r="V9" s="13" t="s">
        <v>59</v>
      </c>
      <c r="W9" s="13" t="s">
        <v>60</v>
      </c>
      <c r="X9" s="13" t="s">
        <v>61</v>
      </c>
      <c r="Y9" s="13" t="s">
        <v>62</v>
      </c>
      <c r="Z9" s="13" t="s">
        <v>63</v>
      </c>
      <c r="AA9" s="13" t="s">
        <v>64</v>
      </c>
      <c r="AB9" s="13" t="s">
        <v>61</v>
      </c>
      <c r="AC9" s="13" t="s">
        <v>65</v>
      </c>
      <c r="AD9" s="15">
        <v>2020</v>
      </c>
      <c r="AE9" s="13" t="s">
        <v>61</v>
      </c>
      <c r="AF9" s="15">
        <v>1980</v>
      </c>
      <c r="AG9" s="13" t="s">
        <v>66</v>
      </c>
      <c r="AH9" s="13" t="s">
        <v>67</v>
      </c>
      <c r="AI9" s="13" t="s">
        <v>66</v>
      </c>
      <c r="AJ9" s="13" t="s">
        <v>61</v>
      </c>
      <c r="AK9" s="13" t="s">
        <v>61</v>
      </c>
      <c r="AN9" s="13">
        <v>4</v>
      </c>
      <c r="AT9" s="13" t="s">
        <v>68</v>
      </c>
      <c r="AU9" s="13" t="s">
        <v>69</v>
      </c>
      <c r="AV9" s="13" t="s">
        <v>70</v>
      </c>
      <c r="AW9" s="19">
        <v>3430.3423028937514</v>
      </c>
      <c r="AX9" s="19">
        <v>2904.5203684528533</v>
      </c>
      <c r="AY9" s="19">
        <f t="shared" si="0"/>
        <v>6334.8626713466047</v>
      </c>
    </row>
    <row r="10" spans="1:51" x14ac:dyDescent="0.25">
      <c r="A10" s="13" t="s">
        <v>98</v>
      </c>
      <c r="B10" s="13">
        <v>9</v>
      </c>
      <c r="C10" s="14" t="s">
        <v>99</v>
      </c>
      <c r="E10" s="15" t="s">
        <v>88</v>
      </c>
      <c r="F10" s="15" t="s">
        <v>89</v>
      </c>
      <c r="G10" s="16">
        <v>63136</v>
      </c>
      <c r="K10" s="17">
        <v>4540500</v>
      </c>
      <c r="M10" s="17">
        <v>441800</v>
      </c>
      <c r="N10" s="15">
        <v>1989</v>
      </c>
      <c r="O10" s="13">
        <v>1</v>
      </c>
      <c r="P10" s="18">
        <v>30100</v>
      </c>
      <c r="Q10" s="13">
        <v>1</v>
      </c>
      <c r="R10" s="13" t="s">
        <v>100</v>
      </c>
      <c r="S10" s="13">
        <v>813990</v>
      </c>
      <c r="T10" s="13" t="s">
        <v>57</v>
      </c>
      <c r="U10" s="13" t="s">
        <v>58</v>
      </c>
      <c r="V10" s="13" t="s">
        <v>59</v>
      </c>
      <c r="W10" s="13" t="s">
        <v>60</v>
      </c>
      <c r="X10" s="13" t="s">
        <v>61</v>
      </c>
      <c r="Y10" s="13" t="s">
        <v>62</v>
      </c>
      <c r="Z10" s="13" t="s">
        <v>63</v>
      </c>
      <c r="AA10" s="13" t="s">
        <v>64</v>
      </c>
      <c r="AB10" s="13" t="s">
        <v>61</v>
      </c>
      <c r="AC10" s="13" t="s">
        <v>65</v>
      </c>
      <c r="AD10" s="15">
        <v>2020</v>
      </c>
      <c r="AE10" s="13" t="s">
        <v>61</v>
      </c>
      <c r="AF10" s="15">
        <v>1989</v>
      </c>
      <c r="AG10" s="13" t="s">
        <v>66</v>
      </c>
      <c r="AH10" s="13" t="s">
        <v>67</v>
      </c>
      <c r="AI10" s="13" t="s">
        <v>66</v>
      </c>
      <c r="AJ10" s="13" t="s">
        <v>61</v>
      </c>
      <c r="AK10" s="13" t="s">
        <v>61</v>
      </c>
      <c r="AN10" s="13">
        <v>4</v>
      </c>
      <c r="AT10" s="13" t="s">
        <v>68</v>
      </c>
      <c r="AU10" s="13" t="s">
        <v>69</v>
      </c>
      <c r="AV10" s="13" t="s">
        <v>70</v>
      </c>
      <c r="AW10" s="19">
        <v>2128.419339681383</v>
      </c>
      <c r="AX10" s="19">
        <v>1802.163393285427</v>
      </c>
      <c r="AY10" s="19">
        <f t="shared" si="0"/>
        <v>3930.58273296681</v>
      </c>
    </row>
    <row r="11" spans="1:51" x14ac:dyDescent="0.25">
      <c r="A11" s="13" t="s">
        <v>101</v>
      </c>
      <c r="B11" s="13">
        <v>10</v>
      </c>
      <c r="C11" s="14" t="s">
        <v>102</v>
      </c>
      <c r="E11" s="15" t="s">
        <v>88</v>
      </c>
      <c r="F11" s="15" t="s">
        <v>89</v>
      </c>
      <c r="G11" s="16">
        <v>63125</v>
      </c>
      <c r="K11" s="17">
        <v>7864500</v>
      </c>
      <c r="M11" s="17">
        <v>543000</v>
      </c>
      <c r="N11" s="15">
        <v>1986</v>
      </c>
      <c r="O11" s="13">
        <v>1</v>
      </c>
      <c r="P11" s="18">
        <v>46815</v>
      </c>
      <c r="Q11" s="13">
        <v>1</v>
      </c>
      <c r="R11" s="13" t="s">
        <v>100</v>
      </c>
      <c r="S11" s="13">
        <v>813990</v>
      </c>
      <c r="T11" s="13" t="s">
        <v>57</v>
      </c>
      <c r="U11" s="13" t="s">
        <v>58</v>
      </c>
      <c r="V11" s="13" t="s">
        <v>59</v>
      </c>
      <c r="W11" s="13" t="s">
        <v>60</v>
      </c>
      <c r="X11" s="13" t="s">
        <v>61</v>
      </c>
      <c r="Y11" s="13" t="s">
        <v>62</v>
      </c>
      <c r="Z11" s="13" t="s">
        <v>63</v>
      </c>
      <c r="AA11" s="13" t="s">
        <v>64</v>
      </c>
      <c r="AB11" s="13" t="s">
        <v>61</v>
      </c>
      <c r="AC11" s="13" t="s">
        <v>65</v>
      </c>
      <c r="AD11" s="15">
        <v>2010</v>
      </c>
      <c r="AE11" s="13" t="s">
        <v>61</v>
      </c>
      <c r="AF11" s="15">
        <v>1986</v>
      </c>
      <c r="AG11" s="13" t="s">
        <v>66</v>
      </c>
      <c r="AH11" s="13" t="s">
        <v>67</v>
      </c>
      <c r="AI11" s="13" t="s">
        <v>66</v>
      </c>
      <c r="AJ11" s="13" t="s">
        <v>61</v>
      </c>
      <c r="AK11" s="13" t="s">
        <v>61</v>
      </c>
      <c r="AN11" s="13">
        <v>4</v>
      </c>
      <c r="AT11" s="13" t="s">
        <v>68</v>
      </c>
      <c r="AU11" s="13" t="s">
        <v>69</v>
      </c>
      <c r="AV11" s="13" t="s">
        <v>70</v>
      </c>
      <c r="AW11" s="19">
        <v>3591.6515662186594</v>
      </c>
      <c r="AX11" s="19">
        <v>3041.1032513191153</v>
      </c>
      <c r="AY11" s="19">
        <f t="shared" si="0"/>
        <v>6632.7548175377742</v>
      </c>
    </row>
    <row r="12" spans="1:51" x14ac:dyDescent="0.25">
      <c r="A12" s="13" t="s">
        <v>103</v>
      </c>
      <c r="B12" s="13">
        <v>11</v>
      </c>
      <c r="C12" s="14" t="s">
        <v>104</v>
      </c>
      <c r="E12" s="15" t="s">
        <v>105</v>
      </c>
      <c r="F12" s="15" t="s">
        <v>89</v>
      </c>
      <c r="G12" s="15">
        <v>63074</v>
      </c>
      <c r="K12" s="17">
        <v>4193300</v>
      </c>
      <c r="M12" s="17">
        <v>237000</v>
      </c>
      <c r="N12" s="15">
        <v>1966</v>
      </c>
      <c r="O12" s="13">
        <v>1</v>
      </c>
      <c r="P12" s="18">
        <v>23672</v>
      </c>
      <c r="Q12" s="13">
        <v>1</v>
      </c>
      <c r="R12" s="13" t="s">
        <v>100</v>
      </c>
      <c r="S12" s="13">
        <v>813990</v>
      </c>
      <c r="T12" s="13" t="s">
        <v>57</v>
      </c>
      <c r="U12" s="13" t="s">
        <v>58</v>
      </c>
      <c r="V12" s="13" t="s">
        <v>59</v>
      </c>
      <c r="W12" s="13" t="s">
        <v>60</v>
      </c>
      <c r="X12" s="13" t="s">
        <v>61</v>
      </c>
      <c r="Y12" s="13" t="s">
        <v>62</v>
      </c>
      <c r="Z12" s="13" t="s">
        <v>63</v>
      </c>
      <c r="AA12" s="13" t="s">
        <v>64</v>
      </c>
      <c r="AB12" s="13" t="s">
        <v>61</v>
      </c>
      <c r="AC12" s="13" t="s">
        <v>65</v>
      </c>
      <c r="AD12" s="15">
        <v>2010</v>
      </c>
      <c r="AE12" s="13" t="s">
        <v>61</v>
      </c>
      <c r="AF12" s="15">
        <v>1966</v>
      </c>
      <c r="AG12" s="13" t="s">
        <v>66</v>
      </c>
      <c r="AH12" s="13" t="s">
        <v>67</v>
      </c>
      <c r="AI12" s="13" t="s">
        <v>66</v>
      </c>
      <c r="AJ12" s="13" t="s">
        <v>61</v>
      </c>
      <c r="AK12" s="13" t="s">
        <v>61</v>
      </c>
      <c r="AN12" s="13">
        <v>4</v>
      </c>
      <c r="AT12" s="13" t="s">
        <v>68</v>
      </c>
      <c r="AU12" s="13" t="s">
        <v>69</v>
      </c>
      <c r="AV12" s="13" t="s">
        <v>70</v>
      </c>
      <c r="AW12" s="19">
        <v>1892.607069142852</v>
      </c>
      <c r="AX12" s="19">
        <v>1602.497738247883</v>
      </c>
      <c r="AY12" s="19">
        <f t="shared" si="0"/>
        <v>3495.104807390735</v>
      </c>
    </row>
    <row r="13" spans="1:51" x14ac:dyDescent="0.25">
      <c r="A13" s="13" t="s">
        <v>106</v>
      </c>
      <c r="B13" s="13">
        <v>12</v>
      </c>
      <c r="C13" s="14" t="s">
        <v>107</v>
      </c>
      <c r="E13" s="15" t="s">
        <v>105</v>
      </c>
      <c r="F13" s="15" t="s">
        <v>89</v>
      </c>
      <c r="G13" s="15">
        <v>63074</v>
      </c>
      <c r="K13" s="17">
        <v>2982800</v>
      </c>
      <c r="M13" s="17">
        <v>303000</v>
      </c>
      <c r="N13" s="15">
        <v>1970</v>
      </c>
      <c r="O13" s="13">
        <v>1</v>
      </c>
      <c r="P13" s="18">
        <v>12000</v>
      </c>
      <c r="Q13" s="13">
        <v>1</v>
      </c>
      <c r="R13" s="13" t="s">
        <v>100</v>
      </c>
      <c r="S13" s="13">
        <v>813990</v>
      </c>
      <c r="T13" s="13" t="s">
        <v>57</v>
      </c>
      <c r="U13" s="13" t="s">
        <v>58</v>
      </c>
      <c r="V13" s="13" t="s">
        <v>59</v>
      </c>
      <c r="W13" s="13" t="s">
        <v>60</v>
      </c>
      <c r="X13" s="13" t="s">
        <v>61</v>
      </c>
      <c r="Y13" s="13" t="s">
        <v>62</v>
      </c>
      <c r="Z13" s="13" t="s">
        <v>63</v>
      </c>
      <c r="AA13" s="13" t="s">
        <v>64</v>
      </c>
      <c r="AB13" s="13" t="s">
        <v>61</v>
      </c>
      <c r="AC13" s="13" t="s">
        <v>65</v>
      </c>
      <c r="AD13" s="15">
        <v>2010</v>
      </c>
      <c r="AE13" s="13" t="s">
        <v>61</v>
      </c>
      <c r="AF13" s="15">
        <v>1970</v>
      </c>
      <c r="AG13" s="13" t="s">
        <v>66</v>
      </c>
      <c r="AH13" s="13" t="s">
        <v>67</v>
      </c>
      <c r="AI13" s="13" t="s">
        <v>66</v>
      </c>
      <c r="AJ13" s="13" t="s">
        <v>61</v>
      </c>
      <c r="AK13" s="13" t="s">
        <v>61</v>
      </c>
      <c r="AN13" s="13">
        <v>4</v>
      </c>
      <c r="AQ13" s="13">
        <v>325</v>
      </c>
      <c r="AS13" s="13" t="s">
        <v>108</v>
      </c>
      <c r="AT13" s="13" t="s">
        <v>68</v>
      </c>
      <c r="AU13" s="13" t="s">
        <v>69</v>
      </c>
      <c r="AV13" s="13" t="s">
        <v>70</v>
      </c>
      <c r="AW13" s="19">
        <v>1403.6810843034518</v>
      </c>
      <c r="AX13" s="19">
        <v>1188.5170458738446</v>
      </c>
      <c r="AY13" s="19">
        <f t="shared" si="0"/>
        <v>2592.1981301772967</v>
      </c>
    </row>
    <row r="14" spans="1:51" x14ac:dyDescent="0.25">
      <c r="A14" s="13" t="s">
        <v>109</v>
      </c>
      <c r="B14" s="13">
        <v>13</v>
      </c>
      <c r="C14" s="14" t="s">
        <v>110</v>
      </c>
      <c r="E14" s="15" t="s">
        <v>88</v>
      </c>
      <c r="F14" s="15" t="s">
        <v>89</v>
      </c>
      <c r="G14" s="15">
        <v>63122</v>
      </c>
      <c r="K14" s="17">
        <v>1977000</v>
      </c>
      <c r="M14" s="17">
        <v>135000</v>
      </c>
      <c r="N14" s="15">
        <v>1967</v>
      </c>
      <c r="O14" s="13">
        <v>1</v>
      </c>
      <c r="P14" s="18">
        <v>7000</v>
      </c>
      <c r="Q14" s="13">
        <v>1</v>
      </c>
      <c r="R14" s="13" t="s">
        <v>100</v>
      </c>
      <c r="S14" s="13" t="e">
        <v>#REF!</v>
      </c>
      <c r="T14" s="13" t="s">
        <v>111</v>
      </c>
      <c r="U14" s="13" t="s">
        <v>58</v>
      </c>
      <c r="V14" s="13" t="s">
        <v>59</v>
      </c>
      <c r="W14" s="13" t="s">
        <v>60</v>
      </c>
      <c r="X14" s="13" t="s">
        <v>61</v>
      </c>
      <c r="Y14" s="13" t="s">
        <v>61</v>
      </c>
      <c r="Z14" s="13" t="s">
        <v>63</v>
      </c>
      <c r="AA14" s="13" t="s">
        <v>112</v>
      </c>
      <c r="AB14" s="13" t="s">
        <v>61</v>
      </c>
      <c r="AC14" s="13" t="s">
        <v>65</v>
      </c>
      <c r="AD14" s="15">
        <v>2011</v>
      </c>
      <c r="AE14" s="13" t="s">
        <v>61</v>
      </c>
      <c r="AF14" s="15">
        <v>2012</v>
      </c>
      <c r="AG14" s="13" t="s">
        <v>66</v>
      </c>
      <c r="AH14" s="13" t="s">
        <v>113</v>
      </c>
      <c r="AI14" s="13" t="s">
        <v>66</v>
      </c>
      <c r="AJ14" s="13" t="s">
        <v>61</v>
      </c>
      <c r="AK14" s="13" t="s">
        <v>61</v>
      </c>
      <c r="AN14" s="13">
        <v>4</v>
      </c>
      <c r="AT14" s="13" t="s">
        <v>68</v>
      </c>
      <c r="AU14" s="13" t="s">
        <v>69</v>
      </c>
      <c r="AV14" s="13" t="s">
        <v>70</v>
      </c>
      <c r="AW14" s="19">
        <v>902.2382524952493</v>
      </c>
      <c r="AX14" s="19">
        <v>763.93815840451634</v>
      </c>
      <c r="AY14" s="19">
        <f t="shared" si="0"/>
        <v>1666.1764108997656</v>
      </c>
    </row>
    <row r="15" spans="1:51" x14ac:dyDescent="0.25">
      <c r="A15" s="13" t="s">
        <v>114</v>
      </c>
      <c r="B15" s="13">
        <v>14</v>
      </c>
      <c r="C15" s="14" t="s">
        <v>115</v>
      </c>
      <c r="E15" s="15" t="s">
        <v>116</v>
      </c>
      <c r="F15" s="15" t="s">
        <v>117</v>
      </c>
      <c r="G15" s="16">
        <v>28211</v>
      </c>
      <c r="K15" s="17">
        <v>18885500</v>
      </c>
      <c r="M15" s="17">
        <v>2694000</v>
      </c>
      <c r="N15" s="15">
        <v>1993</v>
      </c>
      <c r="O15" s="13">
        <v>1</v>
      </c>
      <c r="P15" s="18">
        <v>119992</v>
      </c>
      <c r="Q15" s="13">
        <v>1</v>
      </c>
      <c r="R15" s="13" t="s">
        <v>100</v>
      </c>
      <c r="S15" s="13" t="e">
        <v>#REF!</v>
      </c>
      <c r="T15" s="13" t="s">
        <v>111</v>
      </c>
      <c r="U15" s="13" t="s">
        <v>58</v>
      </c>
      <c r="V15" s="13" t="s">
        <v>59</v>
      </c>
      <c r="W15" s="13" t="s">
        <v>60</v>
      </c>
      <c r="X15" s="13" t="s">
        <v>61</v>
      </c>
      <c r="Y15" s="13" t="s">
        <v>61</v>
      </c>
      <c r="Z15" s="13" t="s">
        <v>63</v>
      </c>
      <c r="AA15" s="13" t="s">
        <v>112</v>
      </c>
      <c r="AB15" s="13" t="s">
        <v>61</v>
      </c>
      <c r="AC15" s="13" t="s">
        <v>65</v>
      </c>
      <c r="AD15" s="15">
        <v>2012</v>
      </c>
      <c r="AE15" s="13" t="s">
        <v>61</v>
      </c>
      <c r="AF15" s="15">
        <v>1993</v>
      </c>
      <c r="AG15" s="13" t="s">
        <v>66</v>
      </c>
      <c r="AH15" s="13" t="s">
        <v>113</v>
      </c>
      <c r="AI15" s="13" t="s">
        <v>66</v>
      </c>
      <c r="AJ15" s="13" t="s">
        <v>61</v>
      </c>
      <c r="AK15" s="13" t="s">
        <v>61</v>
      </c>
      <c r="AN15" s="13">
        <v>4</v>
      </c>
      <c r="AT15" s="13" t="s">
        <v>68</v>
      </c>
      <c r="AU15" s="13" t="s">
        <v>69</v>
      </c>
      <c r="AV15" s="13" t="s">
        <v>70</v>
      </c>
      <c r="AW15" s="19">
        <v>9218.679152330129</v>
      </c>
      <c r="AX15" s="19">
        <v>7805.5887733381915</v>
      </c>
      <c r="AY15" s="19">
        <f t="shared" si="0"/>
        <v>17024.267925668319</v>
      </c>
    </row>
    <row r="16" spans="1:51" x14ac:dyDescent="0.25">
      <c r="A16" s="13" t="s">
        <v>118</v>
      </c>
      <c r="B16" s="13">
        <v>15</v>
      </c>
      <c r="C16" s="14" t="s">
        <v>119</v>
      </c>
      <c r="D16" s="13" t="s">
        <v>120</v>
      </c>
      <c r="E16" s="15" t="s">
        <v>121</v>
      </c>
      <c r="F16" s="15" t="s">
        <v>122</v>
      </c>
      <c r="G16" s="16">
        <v>75063</v>
      </c>
      <c r="K16" s="17">
        <v>20589700</v>
      </c>
      <c r="M16" s="17">
        <v>891000</v>
      </c>
      <c r="N16" s="15">
        <v>1999</v>
      </c>
      <c r="O16" s="13">
        <v>1</v>
      </c>
      <c r="P16" s="18">
        <v>97919</v>
      </c>
      <c r="Q16" s="13">
        <v>1</v>
      </c>
      <c r="R16" s="13" t="s">
        <v>100</v>
      </c>
      <c r="S16" s="13" t="e">
        <v>#REF!</v>
      </c>
      <c r="T16" s="13" t="s">
        <v>111</v>
      </c>
      <c r="U16" s="13" t="s">
        <v>58</v>
      </c>
      <c r="V16" s="13" t="s">
        <v>59</v>
      </c>
      <c r="W16" s="13" t="s">
        <v>60</v>
      </c>
      <c r="X16" s="13" t="s">
        <v>61</v>
      </c>
      <c r="Y16" s="13" t="s">
        <v>61</v>
      </c>
      <c r="Z16" s="13" t="s">
        <v>63</v>
      </c>
      <c r="AA16" s="13" t="s">
        <v>112</v>
      </c>
      <c r="AB16" s="13" t="s">
        <v>61</v>
      </c>
      <c r="AC16" s="13" t="s">
        <v>123</v>
      </c>
      <c r="AD16" s="15">
        <v>1999</v>
      </c>
      <c r="AE16" s="13" t="s">
        <v>61</v>
      </c>
      <c r="AF16" s="15">
        <v>1999</v>
      </c>
      <c r="AG16" s="13" t="s">
        <v>66</v>
      </c>
      <c r="AH16" s="13" t="s">
        <v>113</v>
      </c>
      <c r="AI16" s="13" t="s">
        <v>66</v>
      </c>
      <c r="AJ16" s="13" t="s">
        <v>61</v>
      </c>
      <c r="AK16" s="13" t="s">
        <v>61</v>
      </c>
      <c r="AN16" s="13">
        <v>4</v>
      </c>
      <c r="AT16" s="13" t="s">
        <v>68</v>
      </c>
      <c r="AU16" s="13" t="s">
        <v>69</v>
      </c>
      <c r="AV16" s="13" t="s">
        <v>70</v>
      </c>
      <c r="AW16" s="19">
        <v>9176.4721734728701</v>
      </c>
      <c r="AX16" s="19">
        <v>7769.8515147916169</v>
      </c>
      <c r="AY16" s="19">
        <f t="shared" si="0"/>
        <v>16946.323688264485</v>
      </c>
    </row>
    <row r="17" spans="1:51" x14ac:dyDescent="0.25">
      <c r="A17" s="13" t="s">
        <v>124</v>
      </c>
      <c r="B17" s="13">
        <v>16</v>
      </c>
      <c r="C17" s="14" t="s">
        <v>125</v>
      </c>
      <c r="E17" s="15" t="s">
        <v>126</v>
      </c>
      <c r="F17" s="15" t="s">
        <v>127</v>
      </c>
      <c r="G17" s="16">
        <v>22182</v>
      </c>
      <c r="K17" s="17">
        <v>27954400</v>
      </c>
      <c r="M17" s="17">
        <v>6165000</v>
      </c>
      <c r="N17" s="15">
        <v>1962</v>
      </c>
      <c r="O17" s="13">
        <v>1</v>
      </c>
      <c r="P17" s="18">
        <v>170309</v>
      </c>
      <c r="Q17" s="13">
        <v>6</v>
      </c>
      <c r="R17" s="13" t="s">
        <v>100</v>
      </c>
      <c r="S17" s="13" t="e">
        <v>#REF!</v>
      </c>
      <c r="T17" s="13" t="s">
        <v>111</v>
      </c>
      <c r="U17" s="13" t="s">
        <v>58</v>
      </c>
      <c r="V17" s="13" t="s">
        <v>59</v>
      </c>
      <c r="W17" s="13" t="s">
        <v>60</v>
      </c>
      <c r="X17" s="13" t="s">
        <v>61</v>
      </c>
      <c r="Y17" s="13" t="s">
        <v>61</v>
      </c>
      <c r="Z17" s="13" t="s">
        <v>63</v>
      </c>
      <c r="AA17" s="13" t="s">
        <v>112</v>
      </c>
      <c r="AB17" s="13" t="s">
        <v>61</v>
      </c>
      <c r="AC17" s="13" t="s">
        <v>123</v>
      </c>
      <c r="AD17" s="15">
        <v>1962</v>
      </c>
      <c r="AE17" s="13" t="s">
        <v>61</v>
      </c>
      <c r="AF17" s="15">
        <v>1962</v>
      </c>
      <c r="AG17" s="13" t="s">
        <v>66</v>
      </c>
      <c r="AH17" s="13" t="s">
        <v>113</v>
      </c>
      <c r="AI17" s="13" t="s">
        <v>66</v>
      </c>
      <c r="AJ17" s="13" t="s">
        <v>61</v>
      </c>
      <c r="AK17" s="13" t="s">
        <v>61</v>
      </c>
      <c r="AN17" s="13">
        <v>4</v>
      </c>
      <c r="AQ17" s="13">
        <v>650</v>
      </c>
      <c r="AT17" s="13" t="s">
        <v>68</v>
      </c>
      <c r="AU17" s="13" t="s">
        <v>69</v>
      </c>
      <c r="AV17" s="13" t="s">
        <v>70</v>
      </c>
      <c r="AW17" s="19">
        <v>14575.676056906445</v>
      </c>
      <c r="AX17" s="19">
        <v>12341.435417550689</v>
      </c>
      <c r="AY17" s="19">
        <f t="shared" si="0"/>
        <v>26917.111474457131</v>
      </c>
    </row>
    <row r="18" spans="1:51" ht="30" x14ac:dyDescent="0.25">
      <c r="A18" s="13" t="s">
        <v>128</v>
      </c>
      <c r="B18" s="13">
        <v>17</v>
      </c>
      <c r="C18" s="14" t="s">
        <v>129</v>
      </c>
      <c r="E18" s="15" t="s">
        <v>130</v>
      </c>
      <c r="F18" s="15" t="s">
        <v>127</v>
      </c>
      <c r="G18" s="16">
        <v>22192</v>
      </c>
      <c r="K18" s="17">
        <v>21237600</v>
      </c>
      <c r="M18" s="17">
        <v>1461000</v>
      </c>
      <c r="N18" s="15">
        <v>2004</v>
      </c>
      <c r="O18" s="13">
        <v>1</v>
      </c>
      <c r="P18" s="18">
        <v>143296</v>
      </c>
      <c r="Q18" s="13">
        <v>1</v>
      </c>
      <c r="R18" s="13" t="s">
        <v>100</v>
      </c>
      <c r="S18" s="13" t="e">
        <v>#REF!</v>
      </c>
      <c r="T18" s="13" t="s">
        <v>111</v>
      </c>
      <c r="U18" s="13" t="s">
        <v>58</v>
      </c>
      <c r="V18" s="13" t="s">
        <v>59</v>
      </c>
      <c r="W18" s="13" t="s">
        <v>60</v>
      </c>
      <c r="X18" s="13" t="s">
        <v>61</v>
      </c>
      <c r="Y18" s="13" t="s">
        <v>61</v>
      </c>
      <c r="Z18" s="13" t="s">
        <v>63</v>
      </c>
      <c r="AA18" s="13" t="s">
        <v>112</v>
      </c>
      <c r="AB18" s="13" t="s">
        <v>61</v>
      </c>
      <c r="AC18" s="13" t="s">
        <v>65</v>
      </c>
      <c r="AD18" s="15">
        <v>2004</v>
      </c>
      <c r="AE18" s="13" t="s">
        <v>61</v>
      </c>
      <c r="AF18" s="15">
        <v>2004</v>
      </c>
      <c r="AG18" s="13" t="s">
        <v>66</v>
      </c>
      <c r="AH18" s="13" t="s">
        <v>113</v>
      </c>
      <c r="AI18" s="13" t="s">
        <v>66</v>
      </c>
      <c r="AJ18" s="13" t="s">
        <v>61</v>
      </c>
      <c r="AK18" s="13" t="s">
        <v>61</v>
      </c>
      <c r="AN18" s="13">
        <v>4</v>
      </c>
      <c r="AT18" s="13" t="s">
        <v>68</v>
      </c>
      <c r="AU18" s="13" t="s">
        <v>69</v>
      </c>
      <c r="AV18" s="13" t="s">
        <v>70</v>
      </c>
      <c r="AW18" s="19">
        <v>9696.7543551556191</v>
      </c>
      <c r="AX18" s="19">
        <v>8210.3819518753571</v>
      </c>
      <c r="AY18" s="19">
        <f t="shared" si="0"/>
        <v>17907.136307030974</v>
      </c>
    </row>
    <row r="19" spans="1:51" x14ac:dyDescent="0.25">
      <c r="A19" s="13" t="s">
        <v>131</v>
      </c>
      <c r="B19" s="13">
        <v>18</v>
      </c>
      <c r="C19" s="14" t="s">
        <v>132</v>
      </c>
      <c r="E19" s="15" t="s">
        <v>88</v>
      </c>
      <c r="F19" s="15" t="s">
        <v>89</v>
      </c>
      <c r="G19" s="15">
        <v>63129</v>
      </c>
      <c r="K19" s="17">
        <v>35321900</v>
      </c>
      <c r="M19" s="17">
        <v>2600000</v>
      </c>
      <c r="N19" s="15">
        <v>1980</v>
      </c>
      <c r="O19" s="13">
        <v>1</v>
      </c>
      <c r="P19" s="18">
        <v>195363</v>
      </c>
      <c r="Q19" s="13">
        <v>1</v>
      </c>
      <c r="R19" s="13" t="s">
        <v>100</v>
      </c>
      <c r="S19" s="13" t="e">
        <v>#REF!</v>
      </c>
      <c r="T19" s="13" t="s">
        <v>133</v>
      </c>
      <c r="U19" s="13" t="s">
        <v>58</v>
      </c>
      <c r="V19" s="13" t="s">
        <v>59</v>
      </c>
      <c r="W19" s="13" t="s">
        <v>60</v>
      </c>
      <c r="X19" s="13" t="s">
        <v>61</v>
      </c>
      <c r="Y19" s="13" t="s">
        <v>61</v>
      </c>
      <c r="Z19" s="13" t="s">
        <v>63</v>
      </c>
      <c r="AA19" s="13" t="s">
        <v>112</v>
      </c>
      <c r="AB19" s="13" t="s">
        <v>61</v>
      </c>
      <c r="AC19" s="13" t="s">
        <v>123</v>
      </c>
      <c r="AD19" s="15">
        <v>1980</v>
      </c>
      <c r="AE19" s="13" t="s">
        <v>61</v>
      </c>
      <c r="AF19" s="15">
        <v>1980</v>
      </c>
      <c r="AG19" s="13" t="s">
        <v>66</v>
      </c>
      <c r="AH19" s="13" t="s">
        <v>113</v>
      </c>
      <c r="AI19" s="13" t="s">
        <v>66</v>
      </c>
      <c r="AJ19" s="13" t="s">
        <v>134</v>
      </c>
      <c r="AK19" s="13" t="s">
        <v>135</v>
      </c>
      <c r="AN19" s="13">
        <v>4</v>
      </c>
      <c r="AT19" s="13" t="s">
        <v>68</v>
      </c>
      <c r="AU19" s="13" t="s">
        <v>69</v>
      </c>
      <c r="AV19" s="13" t="s">
        <v>70</v>
      </c>
      <c r="AW19" s="19">
        <v>16200.089387925946</v>
      </c>
      <c r="AX19" s="19">
        <v>13716.849644507683</v>
      </c>
      <c r="AY19" s="19">
        <f t="shared" si="0"/>
        <v>29916.939032433627</v>
      </c>
    </row>
    <row r="20" spans="1:51" x14ac:dyDescent="0.25">
      <c r="A20" s="13" t="s">
        <v>136</v>
      </c>
      <c r="B20" s="13">
        <v>19</v>
      </c>
      <c r="C20" s="14" t="s">
        <v>137</v>
      </c>
      <c r="E20" s="15" t="s">
        <v>138</v>
      </c>
      <c r="F20" s="15" t="s">
        <v>89</v>
      </c>
      <c r="G20" s="15">
        <v>63122</v>
      </c>
      <c r="K20" s="17"/>
      <c r="M20" s="17">
        <v>790000</v>
      </c>
      <c r="N20" s="15">
        <v>2015</v>
      </c>
      <c r="O20" s="13">
        <v>1</v>
      </c>
      <c r="P20" s="18"/>
      <c r="Q20" s="13">
        <v>1</v>
      </c>
      <c r="R20" s="13" t="s">
        <v>100</v>
      </c>
      <c r="S20" s="13" t="e">
        <v>#REF!</v>
      </c>
      <c r="T20" s="13" t="s">
        <v>133</v>
      </c>
      <c r="U20" s="13" t="s">
        <v>58</v>
      </c>
      <c r="V20" s="13" t="s">
        <v>59</v>
      </c>
      <c r="W20" s="13" t="s">
        <v>60</v>
      </c>
      <c r="X20" s="13" t="s">
        <v>61</v>
      </c>
      <c r="Y20" s="13" t="s">
        <v>61</v>
      </c>
      <c r="Z20" s="13" t="s">
        <v>63</v>
      </c>
      <c r="AA20" s="13" t="s">
        <v>112</v>
      </c>
      <c r="AB20" s="13" t="s">
        <v>61</v>
      </c>
      <c r="AC20" s="13" t="s">
        <v>65</v>
      </c>
      <c r="AD20" s="15">
        <v>2015</v>
      </c>
      <c r="AE20" s="13" t="s">
        <v>61</v>
      </c>
      <c r="AF20" s="15">
        <v>2015</v>
      </c>
      <c r="AG20" s="13" t="s">
        <v>66</v>
      </c>
      <c r="AH20" s="13" t="s">
        <v>113</v>
      </c>
      <c r="AI20" s="13" t="s">
        <v>66</v>
      </c>
      <c r="AJ20" s="13" t="s">
        <v>61</v>
      </c>
      <c r="AK20" s="13" t="s">
        <v>61</v>
      </c>
      <c r="AN20" s="13">
        <v>4</v>
      </c>
      <c r="AT20" s="13" t="s">
        <v>68</v>
      </c>
      <c r="AU20" s="13" t="s">
        <v>69</v>
      </c>
      <c r="AV20" s="13" t="s">
        <v>70</v>
      </c>
      <c r="AW20" s="19">
        <v>337.48495240115864</v>
      </c>
      <c r="AX20" s="19">
        <v>285.75338311532573</v>
      </c>
      <c r="AY20" s="19">
        <f t="shared" si="0"/>
        <v>623.23833551648431</v>
      </c>
    </row>
    <row r="21" spans="1:51" x14ac:dyDescent="0.25">
      <c r="A21" s="13" t="s">
        <v>139</v>
      </c>
      <c r="B21" s="13">
        <v>20</v>
      </c>
      <c r="C21" s="14" t="s">
        <v>140</v>
      </c>
      <c r="E21" s="15" t="s">
        <v>141</v>
      </c>
      <c r="F21" s="15" t="s">
        <v>142</v>
      </c>
      <c r="G21" s="15">
        <v>68116</v>
      </c>
      <c r="K21" s="17">
        <v>16588000</v>
      </c>
      <c r="M21" s="17">
        <v>1257000</v>
      </c>
      <c r="N21" s="15">
        <v>2016</v>
      </c>
      <c r="O21" s="13">
        <v>1</v>
      </c>
      <c r="P21" s="18">
        <v>99803</v>
      </c>
      <c r="Q21" s="13">
        <v>1</v>
      </c>
      <c r="R21" s="13" t="s">
        <v>100</v>
      </c>
      <c r="S21" s="13" t="e">
        <v>#REF!</v>
      </c>
      <c r="T21" s="13" t="s">
        <v>133</v>
      </c>
      <c r="U21" s="13" t="s">
        <v>58</v>
      </c>
      <c r="V21" s="13" t="s">
        <v>59</v>
      </c>
      <c r="W21" s="13" t="s">
        <v>60</v>
      </c>
      <c r="X21" s="13" t="s">
        <v>61</v>
      </c>
      <c r="Y21" s="13" t="s">
        <v>61</v>
      </c>
      <c r="Z21" s="13" t="s">
        <v>63</v>
      </c>
      <c r="AA21" s="13" t="s">
        <v>112</v>
      </c>
      <c r="AB21" s="13" t="s">
        <v>61</v>
      </c>
      <c r="AC21" s="13" t="s">
        <v>65</v>
      </c>
      <c r="AD21" s="15">
        <v>2016</v>
      </c>
      <c r="AE21" s="13" t="s">
        <v>61</v>
      </c>
      <c r="AF21" s="15">
        <v>2016</v>
      </c>
      <c r="AG21" s="13" t="s">
        <v>66</v>
      </c>
      <c r="AH21" s="13" t="s">
        <v>113</v>
      </c>
      <c r="AI21" s="13" t="s">
        <v>66</v>
      </c>
      <c r="AJ21" s="13" t="s">
        <v>61</v>
      </c>
      <c r="AK21" s="13" t="s">
        <v>61</v>
      </c>
      <c r="AN21" s="13">
        <v>4</v>
      </c>
      <c r="AT21" s="13" t="s">
        <v>68</v>
      </c>
      <c r="AU21" s="13" t="s">
        <v>69</v>
      </c>
      <c r="AV21" s="13" t="s">
        <v>70</v>
      </c>
      <c r="AW21" s="19">
        <v>7623.3151589856652</v>
      </c>
      <c r="AX21" s="19">
        <v>6454.7710401177055</v>
      </c>
      <c r="AY21" s="19">
        <f t="shared" si="0"/>
        <v>14078.086199103371</v>
      </c>
    </row>
    <row r="22" spans="1:51" x14ac:dyDescent="0.25">
      <c r="A22" s="13" t="s">
        <v>143</v>
      </c>
      <c r="B22" s="13">
        <v>21</v>
      </c>
      <c r="C22" s="14" t="s">
        <v>144</v>
      </c>
      <c r="E22" s="15" t="s">
        <v>145</v>
      </c>
      <c r="F22" s="15" t="s">
        <v>146</v>
      </c>
      <c r="G22" s="15">
        <v>60077</v>
      </c>
      <c r="K22" s="17">
        <v>7536000</v>
      </c>
      <c r="M22" s="17">
        <v>826000</v>
      </c>
      <c r="N22" s="15">
        <v>2017</v>
      </c>
      <c r="O22" s="13">
        <v>1</v>
      </c>
      <c r="P22" s="18">
        <v>33052</v>
      </c>
      <c r="Q22" s="13">
        <v>1</v>
      </c>
      <c r="R22" s="13" t="s">
        <v>100</v>
      </c>
      <c r="S22" s="13" t="e">
        <v>#REF!</v>
      </c>
      <c r="T22" s="13" t="s">
        <v>111</v>
      </c>
      <c r="U22" s="13" t="s">
        <v>58</v>
      </c>
      <c r="V22" s="13" t="s">
        <v>59</v>
      </c>
      <c r="W22" s="13" t="s">
        <v>60</v>
      </c>
      <c r="X22" s="13" t="s">
        <v>61</v>
      </c>
      <c r="Y22" s="13" t="s">
        <v>61</v>
      </c>
      <c r="Z22" s="13" t="s">
        <v>63</v>
      </c>
      <c r="AA22" s="13" t="s">
        <v>112</v>
      </c>
      <c r="AB22" s="13" t="s">
        <v>61</v>
      </c>
      <c r="AC22" s="13" t="s">
        <v>65</v>
      </c>
      <c r="AD22" s="15">
        <v>2017</v>
      </c>
      <c r="AE22" s="13" t="s">
        <v>61</v>
      </c>
      <c r="AF22" s="15">
        <v>2017</v>
      </c>
      <c r="AG22" s="13" t="s">
        <v>66</v>
      </c>
      <c r="AH22" s="13" t="s">
        <v>113</v>
      </c>
      <c r="AI22" s="13" t="s">
        <v>66</v>
      </c>
      <c r="AJ22" s="13" t="s">
        <v>61</v>
      </c>
      <c r="AK22" s="13" t="s">
        <v>61</v>
      </c>
      <c r="AN22" s="13">
        <v>4</v>
      </c>
      <c r="AT22" s="13" t="s">
        <v>68</v>
      </c>
      <c r="AU22" s="13" t="s">
        <v>69</v>
      </c>
      <c r="AV22" s="13" t="s">
        <v>70</v>
      </c>
      <c r="AW22" s="19">
        <v>3572.75</v>
      </c>
      <c r="AX22" s="19">
        <v>3024.6453033042453</v>
      </c>
      <c r="AY22" s="19">
        <f t="shared" si="0"/>
        <v>6597.3953033042453</v>
      </c>
    </row>
    <row r="23" spans="1:51" x14ac:dyDescent="0.25">
      <c r="N23" s="15"/>
      <c r="AY23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50CB-CCC0-4072-A574-03A303977163}">
  <dimension ref="A1:B53"/>
  <sheetViews>
    <sheetView workbookViewId="0">
      <selection activeCell="B2" sqref="B2:B52"/>
    </sheetView>
  </sheetViews>
  <sheetFormatPr defaultRowHeight="15" x14ac:dyDescent="0.25"/>
  <cols>
    <col min="1" max="1" width="5.7109375" style="21" customWidth="1"/>
    <col min="2" max="2" width="21.5703125" style="21" customWidth="1"/>
  </cols>
  <sheetData>
    <row r="1" spans="1:2" x14ac:dyDescent="0.25">
      <c r="A1" s="22" t="s">
        <v>5</v>
      </c>
      <c r="B1" s="22" t="s">
        <v>50</v>
      </c>
    </row>
    <row r="2" spans="1:2" x14ac:dyDescent="0.25">
      <c r="A2" s="23" t="s">
        <v>147</v>
      </c>
      <c r="B2" s="25">
        <v>0</v>
      </c>
    </row>
    <row r="3" spans="1:2" x14ac:dyDescent="0.25">
      <c r="A3" s="23" t="s">
        <v>55</v>
      </c>
      <c r="B3" s="25">
        <f>SUMIF('Model SOV'!F$2:F$1048576,'State Premiums'!A3,'Model SOV'!AY$2:AY$1048576)</f>
        <v>33329.366146707747</v>
      </c>
    </row>
    <row r="4" spans="1:2" x14ac:dyDescent="0.25">
      <c r="A4" s="23" t="s">
        <v>148</v>
      </c>
      <c r="B4" s="25">
        <f>SUMIF('Model SOV'!F$2:F$1048576,'State Premiums'!A4,'Model SOV'!AY$2:AY$1048576)</f>
        <v>0</v>
      </c>
    </row>
    <row r="5" spans="1:2" x14ac:dyDescent="0.25">
      <c r="A5" s="23" t="s">
        <v>149</v>
      </c>
      <c r="B5" s="25">
        <f>SUMIF('Model SOV'!F$2:F$1048576,'State Premiums'!A5,'Model SOV'!AY$2:AY$1048576)</f>
        <v>0</v>
      </c>
    </row>
    <row r="6" spans="1:2" x14ac:dyDescent="0.25">
      <c r="A6" s="23" t="s">
        <v>150</v>
      </c>
      <c r="B6" s="25">
        <f>SUMIF('Model SOV'!F$2:F$1048576,'State Premiums'!A6,'Model SOV'!AY$2:AY$1048576)</f>
        <v>0</v>
      </c>
    </row>
    <row r="7" spans="1:2" x14ac:dyDescent="0.25">
      <c r="A7" s="23" t="s">
        <v>151</v>
      </c>
      <c r="B7" s="25">
        <f>SUMIF('Model SOV'!F$2:F$1048576,'State Premiums'!A7,'Model SOV'!AY$2:AY$1048576)</f>
        <v>0</v>
      </c>
    </row>
    <row r="8" spans="1:2" x14ac:dyDescent="0.25">
      <c r="A8" s="23" t="s">
        <v>152</v>
      </c>
      <c r="B8" s="25">
        <f>SUMIF('Model SOV'!F$2:F$1048576,'State Premiums'!A8,'Model SOV'!AY$2:AY$1048576)</f>
        <v>0</v>
      </c>
    </row>
    <row r="9" spans="1:2" x14ac:dyDescent="0.25">
      <c r="A9" s="23" t="s">
        <v>153</v>
      </c>
      <c r="B9" s="25">
        <f>SUMIF('Model SOV'!F$2:F$1048576,'State Premiums'!A9,'Model SOV'!AY$2:AY$1048576)</f>
        <v>0</v>
      </c>
    </row>
    <row r="10" spans="1:2" x14ac:dyDescent="0.25">
      <c r="A10" s="23" t="s">
        <v>154</v>
      </c>
      <c r="B10" s="25">
        <f>SUMIF('Model SOV'!F$2:F$1048576,'State Premiums'!A10,'Model SOV'!AY$2:AY$1048576)</f>
        <v>0</v>
      </c>
    </row>
    <row r="11" spans="1:2" x14ac:dyDescent="0.25">
      <c r="A11" s="23" t="s">
        <v>77</v>
      </c>
      <c r="B11" s="25">
        <f>SUMIF('Model SOV'!F$2:F$1048576,'State Premiums'!A11,'Model SOV'!AY$2:AY$1048576)</f>
        <v>18075.331766691881</v>
      </c>
    </row>
    <row r="12" spans="1:2" x14ac:dyDescent="0.25">
      <c r="A12" s="23" t="s">
        <v>155</v>
      </c>
      <c r="B12" s="25">
        <f>SUMIF('Model SOV'!F$2:F$1048576,'State Premiums'!A12,'Model SOV'!AY$2:AY$1048576)</f>
        <v>0</v>
      </c>
    </row>
    <row r="13" spans="1:2" x14ac:dyDescent="0.25">
      <c r="A13" s="23" t="s">
        <v>156</v>
      </c>
      <c r="B13" s="25">
        <f>SUMIF('Model SOV'!F$2:F$1048576,'State Premiums'!A13,'Model SOV'!AY$2:AY$1048576)</f>
        <v>0</v>
      </c>
    </row>
    <row r="14" spans="1:2" x14ac:dyDescent="0.25">
      <c r="A14" s="23" t="s">
        <v>157</v>
      </c>
      <c r="B14" s="25">
        <f>SUMIF('Model SOV'!F$2:F$1048576,'State Premiums'!A14,'Model SOV'!AY$2:AY$1048576)</f>
        <v>0</v>
      </c>
    </row>
    <row r="15" spans="1:2" x14ac:dyDescent="0.25">
      <c r="A15" s="23" t="s">
        <v>158</v>
      </c>
      <c r="B15" s="25">
        <f>SUMIF('Model SOV'!F$2:F$1048576,'State Premiums'!A15,'Model SOV'!AY$2:AY$1048576)</f>
        <v>0</v>
      </c>
    </row>
    <row r="16" spans="1:2" x14ac:dyDescent="0.25">
      <c r="A16" s="23" t="s">
        <v>146</v>
      </c>
      <c r="B16" s="25">
        <f>SUMIF('Model SOV'!F$2:F$1048576,'State Premiums'!A16,'Model SOV'!AY$2:AY$1048576)</f>
        <v>6597.3953033042453</v>
      </c>
    </row>
    <row r="17" spans="1:2" x14ac:dyDescent="0.25">
      <c r="A17" s="23" t="s">
        <v>159</v>
      </c>
      <c r="B17" s="25">
        <f>SUMIF('Model SOV'!F$2:F$1048576,'State Premiums'!A17,'Model SOV'!AY$2:AY$1048576)</f>
        <v>0</v>
      </c>
    </row>
    <row r="18" spans="1:2" x14ac:dyDescent="0.25">
      <c r="A18" s="23" t="s">
        <v>160</v>
      </c>
      <c r="B18" s="25">
        <f>SUMIF('Model SOV'!F$2:F$1048576,'State Premiums'!A18,'Model SOV'!AY$2:AY$1048576)</f>
        <v>0</v>
      </c>
    </row>
    <row r="19" spans="1:2" x14ac:dyDescent="0.25">
      <c r="A19" s="23" t="s">
        <v>161</v>
      </c>
      <c r="B19" s="25">
        <f>SUMIF('Model SOV'!F$2:F$1048576,'State Premiums'!A19,'Model SOV'!AY$2:AY$1048576)</f>
        <v>0</v>
      </c>
    </row>
    <row r="20" spans="1:2" x14ac:dyDescent="0.25">
      <c r="A20" s="23" t="s">
        <v>162</v>
      </c>
      <c r="B20" s="25">
        <f>SUMIF('Model SOV'!F$2:F$1048576,'State Premiums'!A20,'Model SOV'!AY$2:AY$1048576)</f>
        <v>0</v>
      </c>
    </row>
    <row r="21" spans="1:2" x14ac:dyDescent="0.25">
      <c r="A21" s="23" t="s">
        <v>163</v>
      </c>
      <c r="B21" s="25">
        <f>SUMIF('Model SOV'!F$2:F$1048576,'State Premiums'!A21,'Model SOV'!AY$2:AY$1048576)</f>
        <v>0</v>
      </c>
    </row>
    <row r="22" spans="1:2" x14ac:dyDescent="0.25">
      <c r="A22" s="23" t="s">
        <v>81</v>
      </c>
      <c r="B22" s="25">
        <f>SUMIF('Model SOV'!F$2:F$1048576,'State Premiums'!A22,'Model SOV'!AY$2:AY$1048576)</f>
        <v>18224.277839787464</v>
      </c>
    </row>
    <row r="23" spans="1:2" x14ac:dyDescent="0.25">
      <c r="A23" s="23" t="s">
        <v>164</v>
      </c>
      <c r="B23" s="25">
        <f>SUMIF('Model SOV'!F$2:F$1048576,'State Premiums'!A23,'Model SOV'!AY$2:AY$1048576)</f>
        <v>0</v>
      </c>
    </row>
    <row r="24" spans="1:2" x14ac:dyDescent="0.25">
      <c r="A24" s="23" t="s">
        <v>85</v>
      </c>
      <c r="B24" s="25">
        <f>SUMIF('Model SOV'!F$2:F$1048576,'State Premiums'!A24,'Model SOV'!AY$2:AY$1048576)</f>
        <v>21652.483139770862</v>
      </c>
    </row>
    <row r="25" spans="1:2" x14ac:dyDescent="0.25">
      <c r="A25" s="23" t="s">
        <v>165</v>
      </c>
      <c r="B25" s="25">
        <f>SUMIF('Model SOV'!F$2:F$1048576,'State Premiums'!A25,'Model SOV'!AY$2:AY$1048576)</f>
        <v>0</v>
      </c>
    </row>
    <row r="26" spans="1:2" x14ac:dyDescent="0.25">
      <c r="A26" s="23" t="s">
        <v>89</v>
      </c>
      <c r="B26" s="25">
        <f>SUMIF('Model SOV'!F$2:F$1048576,'State Premiums'!A26,'Model SOV'!AY$2:AY$1048576)</f>
        <v>67221.224613951257</v>
      </c>
    </row>
    <row r="27" spans="1:2" x14ac:dyDescent="0.25">
      <c r="A27" s="23" t="s">
        <v>166</v>
      </c>
      <c r="B27" s="25">
        <f>SUMIF('Model SOV'!F$2:F$1048576,'State Premiums'!A27,'Model SOV'!AY$2:AY$1048576)</f>
        <v>0</v>
      </c>
    </row>
    <row r="28" spans="1:2" x14ac:dyDescent="0.25">
      <c r="A28" s="23" t="s">
        <v>167</v>
      </c>
      <c r="B28" s="25">
        <f>SUMIF('Model SOV'!F$2:F$1048576,'State Premiums'!A28,'Model SOV'!AY$2:AY$1048576)</f>
        <v>0</v>
      </c>
    </row>
    <row r="29" spans="1:2" x14ac:dyDescent="0.25">
      <c r="A29" s="23" t="s">
        <v>117</v>
      </c>
      <c r="B29" s="25">
        <f>SUMIF('Model SOV'!F$2:F$1048576,'State Premiums'!A29,'Model SOV'!AY$2:AY$1048576)</f>
        <v>17024.267925668319</v>
      </c>
    </row>
    <row r="30" spans="1:2" x14ac:dyDescent="0.25">
      <c r="A30" s="23" t="s">
        <v>168</v>
      </c>
      <c r="B30" s="25">
        <f>SUMIF('Model SOV'!F$2:F$1048576,'State Premiums'!A30,'Model SOV'!AY$2:AY$1048576)</f>
        <v>0</v>
      </c>
    </row>
    <row r="31" spans="1:2" x14ac:dyDescent="0.25">
      <c r="A31" s="23" t="s">
        <v>142</v>
      </c>
      <c r="B31" s="25">
        <f>SUMIF('Model SOV'!F$2:F$1048576,'State Premiums'!A31,'Model SOV'!AY$2:AY$1048576)</f>
        <v>14078.086199103371</v>
      </c>
    </row>
    <row r="32" spans="1:2" x14ac:dyDescent="0.25">
      <c r="A32" s="23" t="s">
        <v>169</v>
      </c>
      <c r="B32" s="25">
        <f>SUMIF('Model SOV'!F$2:F$1048576,'State Premiums'!A32,'Model SOV'!AY$2:AY$1048576)</f>
        <v>0</v>
      </c>
    </row>
    <row r="33" spans="1:2" x14ac:dyDescent="0.25">
      <c r="A33" s="23" t="s">
        <v>170</v>
      </c>
      <c r="B33" s="25">
        <f>SUMIF('Model SOV'!F$2:F$1048576,'State Premiums'!A33,'Model SOV'!AY$2:AY$1048576)</f>
        <v>0</v>
      </c>
    </row>
    <row r="34" spans="1:2" x14ac:dyDescent="0.25">
      <c r="A34" s="23" t="s">
        <v>171</v>
      </c>
      <c r="B34" s="25">
        <f>SUMIF('Model SOV'!F$2:F$1048576,'State Premiums'!A34,'Model SOV'!AY$2:AY$1048576)</f>
        <v>0</v>
      </c>
    </row>
    <row r="35" spans="1:2" x14ac:dyDescent="0.25">
      <c r="A35" s="23" t="s">
        <v>172</v>
      </c>
      <c r="B35" s="25">
        <f>SUMIF('Model SOV'!F$2:F$1048576,'State Premiums'!A35,'Model SOV'!AY$2:AY$1048576)</f>
        <v>0</v>
      </c>
    </row>
    <row r="36" spans="1:2" x14ac:dyDescent="0.25">
      <c r="A36" s="23" t="s">
        <v>173</v>
      </c>
      <c r="B36" s="25">
        <f>SUMIF('Model SOV'!F$2:F$1048576,'State Premiums'!A36,'Model SOV'!AY$2:AY$1048576)</f>
        <v>0</v>
      </c>
    </row>
    <row r="37" spans="1:2" x14ac:dyDescent="0.25">
      <c r="A37" s="23" t="s">
        <v>174</v>
      </c>
      <c r="B37" s="25">
        <f>SUMIF('Model SOV'!F$2:F$1048576,'State Premiums'!A37,'Model SOV'!AY$2:AY$1048576)</f>
        <v>0</v>
      </c>
    </row>
    <row r="38" spans="1:2" x14ac:dyDescent="0.25">
      <c r="A38" s="23" t="s">
        <v>175</v>
      </c>
      <c r="B38" s="25">
        <f>SUMIF('Model SOV'!F$2:F$1048576,'State Premiums'!A38,'Model SOV'!AY$2:AY$1048576)</f>
        <v>0</v>
      </c>
    </row>
    <row r="39" spans="1:2" x14ac:dyDescent="0.25">
      <c r="A39" s="23" t="s">
        <v>176</v>
      </c>
      <c r="B39" s="25">
        <f>SUMIF('Model SOV'!F$2:F$1048576,'State Premiums'!A39,'Model SOV'!AY$2:AY$1048576)</f>
        <v>0</v>
      </c>
    </row>
    <row r="40" spans="1:2" x14ac:dyDescent="0.25">
      <c r="A40" s="23" t="s">
        <v>177</v>
      </c>
      <c r="B40" s="25">
        <f>SUMIF('Model SOV'!F$2:F$1048576,'State Premiums'!A40,'Model SOV'!AY$2:AY$1048576)</f>
        <v>0</v>
      </c>
    </row>
    <row r="41" spans="1:2" x14ac:dyDescent="0.25">
      <c r="A41" s="23" t="s">
        <v>178</v>
      </c>
      <c r="B41" s="25">
        <f>SUMIF('Model SOV'!F$2:F$1048576,'State Premiums'!A41,'Model SOV'!AY$2:AY$1048576)</f>
        <v>0</v>
      </c>
    </row>
    <row r="42" spans="1:2" x14ac:dyDescent="0.25">
      <c r="A42" s="23" t="s">
        <v>179</v>
      </c>
      <c r="B42" s="25">
        <f>SUMIF('Model SOV'!F$2:F$1048576,'State Premiums'!A42,'Model SOV'!AY$2:AY$1048576)</f>
        <v>0</v>
      </c>
    </row>
    <row r="43" spans="1:2" x14ac:dyDescent="0.25">
      <c r="A43" s="23" t="s">
        <v>180</v>
      </c>
      <c r="B43" s="25">
        <f>SUMIF('Model SOV'!F$2:F$1048576,'State Premiums'!A43,'Model SOV'!AY$2:AY$1048576)</f>
        <v>0</v>
      </c>
    </row>
    <row r="44" spans="1:2" x14ac:dyDescent="0.25">
      <c r="A44" s="23" t="s">
        <v>181</v>
      </c>
      <c r="B44" s="25">
        <f>SUMIF('Model SOV'!F$2:F$1048576,'State Premiums'!A44,'Model SOV'!AY$2:AY$1048576)</f>
        <v>0</v>
      </c>
    </row>
    <row r="45" spans="1:2" x14ac:dyDescent="0.25">
      <c r="A45" s="23" t="s">
        <v>122</v>
      </c>
      <c r="B45" s="25">
        <f>SUMIF('Model SOV'!F$2:F$1048576,'State Premiums'!A45,'Model SOV'!AY$2:AY$1048576)</f>
        <v>16946.323688264485</v>
      </c>
    </row>
    <row r="46" spans="1:2" x14ac:dyDescent="0.25">
      <c r="A46" s="23" t="s">
        <v>182</v>
      </c>
      <c r="B46" s="25">
        <f>SUMIF('Model SOV'!F$2:F$1048576,'State Premiums'!A46,'Model SOV'!AY$2:AY$1048576)</f>
        <v>0</v>
      </c>
    </row>
    <row r="47" spans="1:2" x14ac:dyDescent="0.25">
      <c r="A47" s="23" t="s">
        <v>127</v>
      </c>
      <c r="B47" s="25">
        <f>SUMIF('Model SOV'!F$2:F$1048576,'State Premiums'!A47,'Model SOV'!AY$2:AY$1048576)</f>
        <v>44824.247781488106</v>
      </c>
    </row>
    <row r="48" spans="1:2" x14ac:dyDescent="0.25">
      <c r="A48" s="23" t="s">
        <v>183</v>
      </c>
      <c r="B48" s="25">
        <f>SUMIF('Model SOV'!F$2:F$1048576,'State Premiums'!A48,'Model SOV'!AY$2:AY$1048576)</f>
        <v>0</v>
      </c>
    </row>
    <row r="49" spans="1:2" x14ac:dyDescent="0.25">
      <c r="A49" s="23" t="s">
        <v>184</v>
      </c>
      <c r="B49" s="25">
        <f>SUMIF('Model SOV'!F$2:F$1048576,'State Premiums'!A49,'Model SOV'!AY$2:AY$1048576)</f>
        <v>0</v>
      </c>
    </row>
    <row r="50" spans="1:2" x14ac:dyDescent="0.25">
      <c r="A50" s="23" t="s">
        <v>185</v>
      </c>
      <c r="B50" s="25">
        <f>SUMIF('Model SOV'!F$2:F$1048576,'State Premiums'!A50,'Model SOV'!AY$2:AY$1048576)</f>
        <v>0</v>
      </c>
    </row>
    <row r="51" spans="1:2" x14ac:dyDescent="0.25">
      <c r="A51" s="23" t="s">
        <v>186</v>
      </c>
      <c r="B51" s="25">
        <f>SUMIF('Model SOV'!F$2:F$1048576,'State Premiums'!A51,'Model SOV'!AY$2:AY$1048576)</f>
        <v>0</v>
      </c>
    </row>
    <row r="52" spans="1:2" x14ac:dyDescent="0.25">
      <c r="A52" s="23" t="s">
        <v>187</v>
      </c>
      <c r="B52" s="25">
        <f>SUMIF('Model SOV'!F$2:F$1048576,'State Premiums'!A52,'Model SOV'!AY$2:AY$1048576)</f>
        <v>0</v>
      </c>
    </row>
    <row r="53" spans="1:2" x14ac:dyDescent="0.25">
      <c r="B53" s="24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SOV</vt:lpstr>
      <vt:lpstr>State Premiums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Kitts-Jensen, Joanna R</dc:creator>
  <cp:lastModifiedBy>Mohan Kumar</cp:lastModifiedBy>
  <dcterms:created xsi:type="dcterms:W3CDTF">2024-03-11T17:34:32Z</dcterms:created>
  <dcterms:modified xsi:type="dcterms:W3CDTF">2024-05-16T13:30:00Z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2024-03-11T17:34:42Z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1421c46f-2772-4a33-acfb-30d87655fd98</vt:lpwstr>
  </property>
  <property fmtid="{D5CDD505-2E9C-101B-9397-08002B2CF9AE}" pid="8" name="MSIP_Label_38f1469a-2c2a-4aee-b92b-090d4c5468ff_ContentBits">
    <vt:lpwstr>0</vt:lpwstr>
  </property>
</Properties>
</file>