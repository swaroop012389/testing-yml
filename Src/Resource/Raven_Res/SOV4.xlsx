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cglobal-my.sharepoint.com/personal/joanna_kitts-jensen_victorinsurance_com/Documents/Desktop/"/>
    </mc:Choice>
  </mc:AlternateContent>
  <xr:revisionPtr revIDLastSave="2" documentId="8_{E631A8A3-CFCB-426A-A532-F5917416DE39}" xr6:coauthVersionLast="47" xr6:coauthVersionMax="47" xr10:uidLastSave="{F42A3FA0-9C01-463A-AF4B-E8FF10055619}"/>
  <bookViews>
    <workbookView xWindow="-98" yWindow="-98" windowWidth="28996" windowHeight="15796" xr2:uid="{43A092FF-1941-4533-A0BB-91E74CA9E003}"/>
  </bookViews>
  <sheets>
    <sheet name="Model SOV" sheetId="1" r:id="rId1"/>
    <sheet name="State Premium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5" i="1" l="1"/>
  <c r="AW25" i="1"/>
  <c r="AY25" i="1" s="1"/>
  <c r="L25" i="1"/>
  <c r="AX24" i="1"/>
  <c r="AW24" i="1"/>
  <c r="AY24" i="1" s="1"/>
  <c r="AX23" i="1"/>
  <c r="AW23" i="1"/>
  <c r="AX22" i="1"/>
  <c r="AY22" i="1" s="1"/>
  <c r="AW22" i="1"/>
  <c r="AX21" i="1"/>
  <c r="AW21" i="1"/>
  <c r="AY21" i="1" s="1"/>
  <c r="AX20" i="1"/>
  <c r="AW20" i="1"/>
  <c r="AY20" i="1" s="1"/>
  <c r="AX19" i="1"/>
  <c r="AW19" i="1"/>
  <c r="AX18" i="1"/>
  <c r="AW18" i="1"/>
  <c r="AY18" i="1" s="1"/>
  <c r="AX17" i="1"/>
  <c r="AW17" i="1"/>
  <c r="AY17" i="1" s="1"/>
  <c r="AX16" i="1"/>
  <c r="AW16" i="1"/>
  <c r="AX15" i="1"/>
  <c r="AY15" i="1" s="1"/>
  <c r="AW15" i="1"/>
  <c r="AX14" i="1"/>
  <c r="AW14" i="1"/>
  <c r="AX13" i="1"/>
  <c r="AW13" i="1"/>
  <c r="AY13" i="1" s="1"/>
  <c r="AX12" i="1"/>
  <c r="AW12" i="1"/>
  <c r="AY12" i="1" s="1"/>
  <c r="AX11" i="1"/>
  <c r="AW11" i="1"/>
  <c r="AY11" i="1" s="1"/>
  <c r="AX10" i="1"/>
  <c r="AW10" i="1"/>
  <c r="AX9" i="1"/>
  <c r="AW9" i="1"/>
  <c r="AY9" i="1" s="1"/>
  <c r="AX8" i="1"/>
  <c r="AW8" i="1"/>
  <c r="AY8" i="1" s="1"/>
  <c r="AX7" i="1"/>
  <c r="AW7" i="1"/>
  <c r="AX6" i="1"/>
  <c r="AW6" i="1"/>
  <c r="AX5" i="1"/>
  <c r="AW5" i="1"/>
  <c r="AY5" i="1" s="1"/>
  <c r="AY4" i="1"/>
  <c r="AX4" i="1"/>
  <c r="AW4" i="1"/>
  <c r="AX3" i="1"/>
  <c r="AW3" i="1"/>
  <c r="AY3" i="1" s="1"/>
  <c r="AX2" i="1"/>
  <c r="AW2" i="1"/>
  <c r="AY2" i="1" s="1"/>
  <c r="B2" i="2"/>
  <c r="B3" i="2"/>
  <c r="B4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3" i="2"/>
  <c r="B24" i="2"/>
  <c r="B25" i="2"/>
  <c r="B26" i="2"/>
  <c r="B27" i="2"/>
  <c r="B28" i="2"/>
  <c r="B30" i="2"/>
  <c r="B31" i="2"/>
  <c r="B32" i="2"/>
  <c r="B34" i="2"/>
  <c r="B35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AY16" i="1" l="1"/>
  <c r="AY23" i="1"/>
  <c r="AY10" i="1"/>
  <c r="AY6" i="1"/>
  <c r="B6" i="2" s="1"/>
  <c r="AY14" i="1"/>
  <c r="AY7" i="1"/>
  <c r="AY19" i="1"/>
  <c r="B36" i="2" s="1"/>
  <c r="B33" i="2"/>
  <c r="B5" i="2"/>
  <c r="B29" i="2"/>
  <c r="B22" i="2"/>
</calcChain>
</file>

<file path=xl/sharedStrings.xml><?xml version="1.0" encoding="utf-8"?>
<sst xmlns="http://schemas.openxmlformats.org/spreadsheetml/2006/main" count="704" uniqueCount="191">
  <si>
    <t>Uniq ID</t>
  </si>
  <si>
    <t>Location Number</t>
  </si>
  <si>
    <t>Address 1</t>
  </si>
  <si>
    <t>Address 2</t>
  </si>
  <si>
    <t>City</t>
  </si>
  <si>
    <t>State</t>
  </si>
  <si>
    <t>Zip Code (5 digit)</t>
  </si>
  <si>
    <t>Zip Code (4 digit)</t>
  </si>
  <si>
    <t>Latitude</t>
  </si>
  <si>
    <t>Longitude</t>
  </si>
  <si>
    <t>Real Property Value</t>
  </si>
  <si>
    <t>Personal Property (BPP) Value</t>
  </si>
  <si>
    <t>Business Income Limit</t>
  </si>
  <si>
    <t>Year Built</t>
  </si>
  <si>
    <t>Number of Stories</t>
  </si>
  <si>
    <t>Square Feet</t>
  </si>
  <si>
    <t># of Buildings</t>
  </si>
  <si>
    <t>Construction Class</t>
  </si>
  <si>
    <t>NAIC Code</t>
  </si>
  <si>
    <t>Occupancy Description</t>
  </si>
  <si>
    <t>Insured's Interest</t>
  </si>
  <si>
    <t>Inspection Contact</t>
  </si>
  <si>
    <t>Inspection Phone</t>
  </si>
  <si>
    <t>Cladding Type</t>
  </si>
  <si>
    <t>Roof Equipment</t>
  </si>
  <si>
    <t>Roof Geometry</t>
  </si>
  <si>
    <t>Roof System Covering</t>
  </si>
  <si>
    <t>Roof Anchor</t>
  </si>
  <si>
    <t>Roof Coverage</t>
  </si>
  <si>
    <t>Roof Year Built</t>
  </si>
  <si>
    <t>Opening Protection</t>
  </si>
  <si>
    <t>Building Year Upgrade</t>
  </si>
  <si>
    <t>Soft Story</t>
  </si>
  <si>
    <t>Building Shape</t>
  </si>
  <si>
    <t>Vertical Irregularity</t>
  </si>
  <si>
    <t>Wall Type</t>
  </si>
  <si>
    <t>Earthquake Retrofit</t>
  </si>
  <si>
    <t>Security</t>
  </si>
  <si>
    <t>Fire Protection</t>
  </si>
  <si>
    <t>Protection Class</t>
  </si>
  <si>
    <t>% Occupancy</t>
  </si>
  <si>
    <t>Avg Monthly Rental Value</t>
  </si>
  <si>
    <t>Base Flood Elevation</t>
  </si>
  <si>
    <t>Custom Elevation</t>
  </si>
  <si>
    <t>Custom Flood Zone</t>
  </si>
  <si>
    <t>Defensible Space</t>
  </si>
  <si>
    <t>Roof Hail Impact Resistance</t>
  </si>
  <si>
    <t>Glass Percentage</t>
  </si>
  <si>
    <t>Cat Premium</t>
  </si>
  <si>
    <t>AOP Premium</t>
  </si>
  <si>
    <t>Total Premium</t>
  </si>
  <si>
    <t>A</t>
  </si>
  <si>
    <t>718 San Pablo Ave.</t>
  </si>
  <si>
    <t>ALAMEDA</t>
  </si>
  <si>
    <t>CA</t>
  </si>
  <si>
    <t>Non-Combustible</t>
  </si>
  <si>
    <t>Unknown</t>
  </si>
  <si>
    <t>Lessor</t>
  </si>
  <si>
    <t>ASC</t>
  </si>
  <si>
    <t>800-867-5309</t>
  </si>
  <si>
    <t>Present</t>
  </si>
  <si>
    <t>Flat</t>
  </si>
  <si>
    <t>Metal</t>
  </si>
  <si>
    <t>RC</t>
  </si>
  <si>
    <t>No</t>
  </si>
  <si>
    <t xml:space="preserve">Regular </t>
  </si>
  <si>
    <t>X</t>
  </si>
  <si>
    <t>100 feet</t>
  </si>
  <si>
    <t>Class B</t>
  </si>
  <si>
    <t>&lt;5%</t>
  </si>
  <si>
    <t>B</t>
  </si>
  <si>
    <t>929 San Pablo Ave.</t>
  </si>
  <si>
    <t>C</t>
  </si>
  <si>
    <t>934 San Pablo Ave.</t>
  </si>
  <si>
    <t>Tenant</t>
  </si>
  <si>
    <t>D</t>
  </si>
  <si>
    <t>12545 Folsom Boulevard</t>
  </si>
  <si>
    <t>SACRAMENTO</t>
  </si>
  <si>
    <t>Gable</t>
  </si>
  <si>
    <t>E</t>
  </si>
  <si>
    <t>6800 Automall Parkway</t>
  </si>
  <si>
    <t>SANTA CLARA</t>
  </si>
  <si>
    <t>AH</t>
  </si>
  <si>
    <t>F</t>
  </si>
  <si>
    <t>5560 Sterrett Place</t>
  </si>
  <si>
    <t>HOWARD</t>
  </si>
  <si>
    <t>MD</t>
  </si>
  <si>
    <t>Commercial: Construction</t>
  </si>
  <si>
    <t>G</t>
  </si>
  <si>
    <t>2534 Chapel Hill Boulevard</t>
  </si>
  <si>
    <t>DURHAM</t>
  </si>
  <si>
    <t>NC</t>
  </si>
  <si>
    <t>H</t>
  </si>
  <si>
    <t>324 Blackwell Street</t>
  </si>
  <si>
    <t>I</t>
  </si>
  <si>
    <t>3301 Stafford Drive</t>
  </si>
  <si>
    <t>MECKLENBURG</t>
  </si>
  <si>
    <t>J</t>
  </si>
  <si>
    <t>20000 Horizon Way</t>
  </si>
  <si>
    <t>BURLINGTON</t>
  </si>
  <si>
    <t>NJ</t>
  </si>
  <si>
    <t>K</t>
  </si>
  <si>
    <t>61 Lakeside Drive North</t>
  </si>
  <si>
    <t>CAMDEN</t>
  </si>
  <si>
    <t>Wood Frame</t>
  </si>
  <si>
    <t>L</t>
  </si>
  <si>
    <t>31 Lewis Street</t>
  </si>
  <si>
    <t>BROOME</t>
  </si>
  <si>
    <t>NY</t>
  </si>
  <si>
    <t>M</t>
  </si>
  <si>
    <t>4225 Genesee Street</t>
  </si>
  <si>
    <t>ERIE</t>
  </si>
  <si>
    <t>Built-up/Single ply</t>
  </si>
  <si>
    <t>Irregular</t>
  </si>
  <si>
    <t>N</t>
  </si>
  <si>
    <t>1740 Emerson Street</t>
  </si>
  <si>
    <t>MONROE</t>
  </si>
  <si>
    <t>Steel Frame</t>
  </si>
  <si>
    <t>Owner</t>
  </si>
  <si>
    <t>O</t>
  </si>
  <si>
    <t>205 Indigo Creek Drive</t>
  </si>
  <si>
    <t>ACV</t>
  </si>
  <si>
    <t>P</t>
  </si>
  <si>
    <t>609 Erie Boulevard West</t>
  </si>
  <si>
    <t>ONONDAGA</t>
  </si>
  <si>
    <t>Q</t>
  </si>
  <si>
    <t>Hip</t>
  </si>
  <si>
    <t>R</t>
  </si>
  <si>
    <t>220 Harborside Drive</t>
  </si>
  <si>
    <t>SCHENECTADY</t>
  </si>
  <si>
    <t>AE</t>
  </si>
  <si>
    <t>S</t>
  </si>
  <si>
    <t>600 Consalus Avenue</t>
  </si>
  <si>
    <t>T</t>
  </si>
  <si>
    <t>11849 East Corning Road</t>
  </si>
  <si>
    <t>STEUBEN</t>
  </si>
  <si>
    <t>X500</t>
  </si>
  <si>
    <t>U</t>
  </si>
  <si>
    <t>V</t>
  </si>
  <si>
    <t>1 Labriola Court</t>
  </si>
  <si>
    <t>WESTCHESTER</t>
  </si>
  <si>
    <t>W</t>
  </si>
  <si>
    <t>4402 West Cactus Rd</t>
  </si>
  <si>
    <t>MARICOPA</t>
  </si>
  <si>
    <t>AZ</t>
  </si>
  <si>
    <t>Commercial: Retail</t>
  </si>
  <si>
    <t>AK</t>
  </si>
  <si>
    <t>AL</t>
  </si>
  <si>
    <t>AR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</si>
  <si>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</si>
  <si>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</si>
  <si>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</si>
  <si>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</si>
  <si>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</si>
  <si>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</si>
  <si>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</si>
  <si>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</si>
  <si>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</si>
  <si>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</si>
  <si>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</si>
  <si>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</si>
  <si>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</si>
  <si>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</si>
  <si>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</si>
  <si>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</si>
  <si>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</si>
  <si>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</si>
  <si>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</si>
  <si>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</si>
  <si>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</si>
  <si>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</si>
  <si>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</si>
  <si>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</si>
  <si>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NM</t>
  </si>
  <si>
    <t>NV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</si>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</sst>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6" fontId="5" fillId="0" borderId="1" xfId="0" quotePrefix="1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7" fontId="5" fillId="0" borderId="1" xfId="1" applyNumberFormat="1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top" wrapText="1"/>
    </xf>
    <xf numFmtId="5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5" fontId="0" fillId="0" borderId="0" xfId="0" applyNumberForma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mcglobal-my.sharepoint.com/personal/joanna_kitts-jensen_victorinsurance_com/Documents/Desktop/Joanna%20VIMM%20Reporting%20Test%20Cases.xlsx" TargetMode="External"/><Relationship Id="rId1" Type="http://schemas.openxmlformats.org/officeDocument/2006/relationships/externalLinkPath" Target="Joanna%20VIMM%20Reporting%20Test%20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heet1"/>
      <sheetName val="Reporting Info"/>
      <sheetName val="Contract Setup"/>
      <sheetName val="Policy Test Cases"/>
      <sheetName val="Sheet2"/>
      <sheetName val="SOV 1"/>
      <sheetName val="SOV 2"/>
      <sheetName val="SOV 3"/>
      <sheetName val="SOV 4"/>
    </sheetNames>
    <sheetDataSet>
      <sheetData sheetId="0"/>
      <sheetData sheetId="1"/>
      <sheetData sheetId="2"/>
      <sheetData sheetId="3"/>
      <sheetData sheetId="4">
        <row r="55">
          <cell r="H55">
            <v>49529744</v>
          </cell>
        </row>
        <row r="83">
          <cell r="H83">
            <v>17000</v>
          </cell>
        </row>
        <row r="85">
          <cell r="H85">
            <v>12000</v>
          </cell>
        </row>
        <row r="87">
          <cell r="H87">
            <v>45000</v>
          </cell>
        </row>
        <row r="88">
          <cell r="H88">
            <v>117950</v>
          </cell>
        </row>
        <row r="89">
          <cell r="H89">
            <v>13750</v>
          </cell>
        </row>
      </sheetData>
      <sheetData sheetId="5"/>
      <sheetData sheetId="6"/>
      <sheetData sheetId="7"/>
      <sheetData sheetId="8"/>
      <sheetData sheetId="9">
        <row r="2">
          <cell r="K2">
            <v>3570000</v>
          </cell>
          <cell r="L2">
            <v>180000</v>
          </cell>
          <cell r="M2">
            <v>500000</v>
          </cell>
        </row>
        <row r="3">
          <cell r="K3">
            <v>1640000</v>
          </cell>
          <cell r="L3">
            <v>480000</v>
          </cell>
          <cell r="M3">
            <v>0</v>
          </cell>
        </row>
        <row r="4">
          <cell r="K4">
            <v>0</v>
          </cell>
          <cell r="L4">
            <v>5000</v>
          </cell>
          <cell r="M4">
            <v>0</v>
          </cell>
        </row>
        <row r="5">
          <cell r="K5">
            <v>8564005</v>
          </cell>
          <cell r="L5">
            <v>2738709</v>
          </cell>
          <cell r="M5">
            <v>2035719</v>
          </cell>
        </row>
        <row r="6">
          <cell r="K6">
            <v>4230000</v>
          </cell>
          <cell r="L6">
            <v>520000</v>
          </cell>
          <cell r="M6">
            <v>589537</v>
          </cell>
        </row>
        <row r="7">
          <cell r="K7">
            <v>0</v>
          </cell>
          <cell r="L7">
            <v>85150</v>
          </cell>
          <cell r="M7">
            <v>0</v>
          </cell>
        </row>
        <row r="8">
          <cell r="K8">
            <v>0</v>
          </cell>
          <cell r="L8">
            <v>5150</v>
          </cell>
          <cell r="M8">
            <v>25000</v>
          </cell>
        </row>
        <row r="9">
          <cell r="K9">
            <v>0</v>
          </cell>
          <cell r="L9">
            <v>369500</v>
          </cell>
          <cell r="M9">
            <v>25000</v>
          </cell>
        </row>
        <row r="10">
          <cell r="K10">
            <v>0</v>
          </cell>
          <cell r="L10">
            <v>151500</v>
          </cell>
          <cell r="M10">
            <v>25000</v>
          </cell>
        </row>
        <row r="11">
          <cell r="K11">
            <v>0</v>
          </cell>
          <cell r="L11">
            <v>85150</v>
          </cell>
          <cell r="M11">
            <v>0</v>
          </cell>
        </row>
        <row r="12">
          <cell r="K12">
            <v>0</v>
          </cell>
          <cell r="L12">
            <v>125000</v>
          </cell>
          <cell r="M12">
            <v>25000</v>
          </cell>
        </row>
        <row r="13">
          <cell r="K13">
            <v>225000</v>
          </cell>
          <cell r="L13">
            <v>233000</v>
          </cell>
          <cell r="M13">
            <v>25000</v>
          </cell>
        </row>
        <row r="14">
          <cell r="K14">
            <v>0</v>
          </cell>
          <cell r="L14">
            <v>125750</v>
          </cell>
          <cell r="M14">
            <v>25000</v>
          </cell>
        </row>
        <row r="15">
          <cell r="K15">
            <v>525300</v>
          </cell>
          <cell r="L15">
            <v>690000</v>
          </cell>
          <cell r="M15">
            <v>25000</v>
          </cell>
        </row>
        <row r="16">
          <cell r="K16">
            <v>9527500</v>
          </cell>
          <cell r="L16">
            <v>4708000</v>
          </cell>
          <cell r="M16">
            <v>572000</v>
          </cell>
        </row>
        <row r="17">
          <cell r="K17">
            <v>1854000</v>
          </cell>
          <cell r="L17">
            <v>278000</v>
          </cell>
          <cell r="M17">
            <v>25000</v>
          </cell>
        </row>
        <row r="18">
          <cell r="K18">
            <v>0</v>
          </cell>
          <cell r="L18">
            <v>108000</v>
          </cell>
          <cell r="M18">
            <v>25000</v>
          </cell>
        </row>
        <row r="19">
          <cell r="K19">
            <v>579000</v>
          </cell>
          <cell r="L19">
            <v>278000</v>
          </cell>
          <cell r="M19">
            <v>25000</v>
          </cell>
        </row>
        <row r="20">
          <cell r="K20">
            <v>0</v>
          </cell>
          <cell r="L20">
            <v>108000</v>
          </cell>
          <cell r="M20">
            <v>25000</v>
          </cell>
        </row>
        <row r="21">
          <cell r="K21">
            <v>100000</v>
          </cell>
          <cell r="L21">
            <v>233000</v>
          </cell>
          <cell r="M21">
            <v>25000</v>
          </cell>
        </row>
        <row r="22">
          <cell r="K22">
            <v>30000</v>
          </cell>
          <cell r="L22">
            <v>108000</v>
          </cell>
          <cell r="M22">
            <v>25000</v>
          </cell>
        </row>
        <row r="23">
          <cell r="K23">
            <v>0</v>
          </cell>
          <cell r="L23">
            <v>293000</v>
          </cell>
          <cell r="M23">
            <v>25000</v>
          </cell>
        </row>
        <row r="24">
          <cell r="K24">
            <v>0</v>
          </cell>
          <cell r="L24">
            <v>108000</v>
          </cell>
          <cell r="M24">
            <v>25000</v>
          </cell>
        </row>
        <row r="25">
          <cell r="K25">
            <v>0</v>
          </cell>
          <cell r="L25">
            <v>1987699</v>
          </cell>
          <cell r="M25">
            <v>609075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44FE-67DD-4BA0-99B8-335600E18637}">
  <dimension ref="A1:AY26"/>
  <sheetViews>
    <sheetView tabSelected="1" topLeftCell="AS1" workbookViewId="0">
      <selection activeCell="BD34" sqref="BD34"/>
    </sheetView>
  </sheetViews>
  <sheetFormatPr defaultColWidth="8.73046875" defaultRowHeight="14.25" x14ac:dyDescent="0.45"/>
  <cols>
    <col min="1" max="1" width="6" style="13" bestFit="1" customWidth="1"/>
    <col min="2" max="2" width="13.86328125" style="13" bestFit="1" customWidth="1"/>
    <col min="3" max="3" width="53.1328125" style="21" bestFit="1" customWidth="1"/>
    <col min="4" max="17" width="15.73046875" style="13" customWidth="1"/>
    <col min="18" max="18" width="24" style="13" bestFit="1" customWidth="1"/>
    <col min="19" max="19" width="15.73046875" style="13" customWidth="1"/>
    <col min="20" max="20" width="25.59765625" style="13" customWidth="1"/>
    <col min="21" max="26" width="15.73046875" style="13" customWidth="1"/>
    <col min="27" max="27" width="17" style="13" bestFit="1" customWidth="1"/>
    <col min="28" max="35" width="15.73046875" style="13" customWidth="1"/>
    <col min="36" max="36" width="20" style="13" bestFit="1" customWidth="1"/>
    <col min="37" max="37" width="17.265625" style="13" bestFit="1" customWidth="1"/>
    <col min="38" max="44" width="15.73046875" style="13" customWidth="1"/>
    <col min="45" max="45" width="24.86328125" style="13" bestFit="1" customWidth="1"/>
    <col min="46" max="51" width="15.73046875" style="13" customWidth="1"/>
    <col min="52" max="16384" width="8.73046875" style="12"/>
  </cols>
  <sheetData>
    <row r="1" spans="1:51" ht="20.25" x14ac:dyDescent="0.4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1" t="s">
        <v>50</v>
      </c>
    </row>
    <row r="2" spans="1:51" x14ac:dyDescent="0.45">
      <c r="A2" s="13" t="s">
        <v>51</v>
      </c>
      <c r="B2" s="13">
        <v>1</v>
      </c>
      <c r="C2" s="14" t="s">
        <v>52</v>
      </c>
      <c r="E2" s="15" t="s">
        <v>53</v>
      </c>
      <c r="F2" s="15" t="s">
        <v>54</v>
      </c>
      <c r="G2" s="16">
        <v>94706</v>
      </c>
      <c r="K2" s="17">
        <v>3570000</v>
      </c>
      <c r="L2" s="17">
        <v>180000</v>
      </c>
      <c r="M2" s="17">
        <v>500000</v>
      </c>
      <c r="N2" s="18">
        <v>20455</v>
      </c>
      <c r="O2" s="13">
        <v>2</v>
      </c>
      <c r="P2" s="19">
        <v>17610</v>
      </c>
      <c r="Q2" s="13">
        <v>1</v>
      </c>
      <c r="R2" s="13" t="s">
        <v>55</v>
      </c>
      <c r="T2" s="13" t="s">
        <v>56</v>
      </c>
      <c r="U2" s="13" t="s">
        <v>57</v>
      </c>
      <c r="V2" s="13" t="s">
        <v>58</v>
      </c>
      <c r="W2" s="13" t="s">
        <v>59</v>
      </c>
      <c r="X2" s="13" t="s">
        <v>56</v>
      </c>
      <c r="Y2" s="13" t="s">
        <v>60</v>
      </c>
      <c r="Z2" s="13" t="s">
        <v>61</v>
      </c>
      <c r="AA2" s="13" t="s">
        <v>62</v>
      </c>
      <c r="AB2" s="13" t="s">
        <v>56</v>
      </c>
      <c r="AC2" s="13" t="s">
        <v>63</v>
      </c>
      <c r="AD2" s="18">
        <v>43831</v>
      </c>
      <c r="AE2" s="13" t="s">
        <v>56</v>
      </c>
      <c r="AF2" s="18">
        <v>43831</v>
      </c>
      <c r="AG2" s="13" t="s">
        <v>64</v>
      </c>
      <c r="AH2" s="13" t="s">
        <v>65</v>
      </c>
      <c r="AI2" s="13" t="s">
        <v>64</v>
      </c>
      <c r="AJ2" s="13" t="s">
        <v>56</v>
      </c>
      <c r="AK2" s="13" t="s">
        <v>56</v>
      </c>
      <c r="AN2" s="13">
        <v>4</v>
      </c>
      <c r="AS2" s="13" t="s">
        <v>66</v>
      </c>
      <c r="AT2" s="13" t="s">
        <v>67</v>
      </c>
      <c r="AU2" s="13" t="s">
        <v>68</v>
      </c>
      <c r="AV2" s="13" t="s">
        <v>69</v>
      </c>
      <c r="AW2" s="20">
        <f>SUM((('[1]Policy Test Cases'!$H$83+'[1]Policy Test Cases'!$H$84+'[1]Policy Test Cases'!$H$85+'[1]Policy Test Cases'!$H$86+'[1]Policy Test Cases'!$H$87+'[1]Policy Test Cases'!$H$89)/'[1]Policy Test Cases'!$H$55)*('[1]SOV 4'!K2+'[1]SOV 4'!L2+'[1]SOV 4'!M2))</f>
        <v>7529.566476257176</v>
      </c>
      <c r="AX2" s="20">
        <f>(('[1]Policy Test Cases'!$H$88/'[1]Policy Test Cases'!$H$55)*('[1]SOV 4'!K2+'[1]SOV 4'!L2+'[1]SOV 4'!M2))</f>
        <v>10120.938642444831</v>
      </c>
      <c r="AY2" s="20">
        <f>SUM(AW2:AX2)</f>
        <v>17650.505118702007</v>
      </c>
    </row>
    <row r="3" spans="1:51" x14ac:dyDescent="0.45">
      <c r="A3" s="13" t="s">
        <v>70</v>
      </c>
      <c r="B3" s="13">
        <v>2</v>
      </c>
      <c r="C3" s="14" t="s">
        <v>71</v>
      </c>
      <c r="E3" s="15" t="s">
        <v>53</v>
      </c>
      <c r="F3" s="15" t="s">
        <v>54</v>
      </c>
      <c r="G3" s="15">
        <v>94706</v>
      </c>
      <c r="K3" s="17">
        <v>1640000</v>
      </c>
      <c r="L3" s="17">
        <v>480000</v>
      </c>
      <c r="M3" s="17">
        <v>0</v>
      </c>
      <c r="N3" s="18">
        <v>14611</v>
      </c>
      <c r="O3" s="13">
        <v>1</v>
      </c>
      <c r="P3" s="19">
        <v>15000</v>
      </c>
      <c r="Q3" s="13">
        <v>1</v>
      </c>
      <c r="R3" s="13" t="s">
        <v>55</v>
      </c>
      <c r="T3" s="13" t="s">
        <v>56</v>
      </c>
      <c r="U3" s="13" t="s">
        <v>57</v>
      </c>
      <c r="V3" s="13" t="s">
        <v>58</v>
      </c>
      <c r="W3" s="13" t="s">
        <v>59</v>
      </c>
      <c r="X3" s="13" t="s">
        <v>56</v>
      </c>
      <c r="Y3" s="13" t="s">
        <v>60</v>
      </c>
      <c r="Z3" s="13" t="s">
        <v>61</v>
      </c>
      <c r="AA3" s="13" t="s">
        <v>62</v>
      </c>
      <c r="AB3" s="13" t="s">
        <v>56</v>
      </c>
      <c r="AC3" s="13" t="s">
        <v>63</v>
      </c>
      <c r="AD3" s="18">
        <v>43831</v>
      </c>
      <c r="AE3" s="13" t="s">
        <v>56</v>
      </c>
      <c r="AF3" s="18">
        <v>43831</v>
      </c>
      <c r="AG3" s="13" t="s">
        <v>64</v>
      </c>
      <c r="AH3" s="13" t="s">
        <v>65</v>
      </c>
      <c r="AI3" s="13" t="s">
        <v>64</v>
      </c>
      <c r="AJ3" s="13" t="s">
        <v>56</v>
      </c>
      <c r="AK3" s="13" t="s">
        <v>56</v>
      </c>
      <c r="AN3" s="13">
        <v>4</v>
      </c>
      <c r="AS3" s="13" t="s">
        <v>66</v>
      </c>
      <c r="AT3" s="13" t="s">
        <v>67</v>
      </c>
      <c r="AU3" s="13" t="s">
        <v>68</v>
      </c>
      <c r="AV3" s="13" t="s">
        <v>69</v>
      </c>
      <c r="AW3" s="20">
        <f>SUM((('[1]Policy Test Cases'!$H$83+'[1]Policy Test Cases'!$H$84+'[1]Policy Test Cases'!$H$85+'[1]Policy Test Cases'!$H$86+'[1]Policy Test Cases'!$H$87+'[1]Policy Test Cases'!$H$89)/'[1]Policy Test Cases'!$H$55)*('[1]SOV 4'!K3+'[1]SOV 4'!L3+'[1]SOV 4'!M3))</f>
        <v>3755.9249246271092</v>
      </c>
      <c r="AX3" s="20">
        <f>(('[1]Policy Test Cases'!$H$88/'[1]Policy Test Cases'!$H$55)*('[1]SOV 4'!K3+'[1]SOV 4'!L3+'[1]SOV 4'!M3))</f>
        <v>5048.562334584245</v>
      </c>
      <c r="AY3" s="20">
        <f t="shared" ref="AY3:AY25" si="0">SUM(AW3:AX3)</f>
        <v>8804.4872592113534</v>
      </c>
    </row>
    <row r="4" spans="1:51" x14ac:dyDescent="0.45">
      <c r="A4" s="13" t="s">
        <v>72</v>
      </c>
      <c r="B4" s="13">
        <v>3</v>
      </c>
      <c r="C4" s="14" t="s">
        <v>73</v>
      </c>
      <c r="E4" s="15" t="s">
        <v>53</v>
      </c>
      <c r="F4" s="15" t="s">
        <v>54</v>
      </c>
      <c r="G4" s="15">
        <v>94706</v>
      </c>
      <c r="K4" s="17">
        <v>0</v>
      </c>
      <c r="L4" s="17">
        <v>5000</v>
      </c>
      <c r="M4" s="17">
        <v>0</v>
      </c>
      <c r="N4" s="18"/>
      <c r="O4" s="13">
        <v>0</v>
      </c>
      <c r="P4" s="19">
        <v>0</v>
      </c>
      <c r="Q4" s="13">
        <v>1</v>
      </c>
      <c r="R4" s="13" t="s">
        <v>56</v>
      </c>
      <c r="T4" s="13" t="s">
        <v>56</v>
      </c>
      <c r="U4" s="13" t="s">
        <v>74</v>
      </c>
      <c r="V4" s="13" t="s">
        <v>58</v>
      </c>
      <c r="W4" s="13" t="s">
        <v>59</v>
      </c>
      <c r="X4" s="13" t="s">
        <v>56</v>
      </c>
      <c r="Y4" s="13" t="s">
        <v>60</v>
      </c>
      <c r="Z4" s="13" t="s">
        <v>61</v>
      </c>
      <c r="AA4" s="13" t="s">
        <v>62</v>
      </c>
      <c r="AB4" s="13" t="s">
        <v>56</v>
      </c>
      <c r="AC4" s="13" t="s">
        <v>63</v>
      </c>
      <c r="AD4" s="18"/>
      <c r="AE4" s="13" t="s">
        <v>56</v>
      </c>
      <c r="AF4" s="18"/>
      <c r="AG4" s="13" t="s">
        <v>64</v>
      </c>
      <c r="AH4" s="13" t="s">
        <v>65</v>
      </c>
      <c r="AI4" s="13" t="s">
        <v>64</v>
      </c>
      <c r="AJ4" s="13" t="s">
        <v>56</v>
      </c>
      <c r="AK4" s="13" t="s">
        <v>56</v>
      </c>
      <c r="AN4" s="13">
        <v>3</v>
      </c>
      <c r="AS4" s="13" t="s">
        <v>66</v>
      </c>
      <c r="AT4" s="13" t="s">
        <v>67</v>
      </c>
      <c r="AU4" s="13" t="s">
        <v>68</v>
      </c>
      <c r="AV4" s="13" t="s">
        <v>69</v>
      </c>
      <c r="AW4" s="20">
        <f>SUM((('[1]Policy Test Cases'!$H$83+'[1]Policy Test Cases'!$H$84+'[1]Policy Test Cases'!$H$85+'[1]Policy Test Cases'!$H$86+'[1]Policy Test Cases'!$H$87+'[1]Policy Test Cases'!$H$89)/'[1]Policy Test Cases'!$H$55)*('[1]SOV 4'!K4+'[1]SOV 4'!L4+'[1]SOV 4'!M4))</f>
        <v>8.8583135014790315</v>
      </c>
      <c r="AX4" s="20">
        <f>(('[1]Policy Test Cases'!$H$88/'[1]Policy Test Cases'!$H$55)*('[1]SOV 4'!K4+'[1]SOV 4'!L4+'[1]SOV 4'!M4))</f>
        <v>11.906986638170389</v>
      </c>
      <c r="AY4" s="20">
        <f t="shared" si="0"/>
        <v>20.765300139649419</v>
      </c>
    </row>
    <row r="5" spans="1:51" x14ac:dyDescent="0.45">
      <c r="A5" s="13" t="s">
        <v>75</v>
      </c>
      <c r="B5" s="13">
        <v>4</v>
      </c>
      <c r="C5" s="14" t="s">
        <v>76</v>
      </c>
      <c r="E5" s="15" t="s">
        <v>77</v>
      </c>
      <c r="F5" s="15" t="s">
        <v>54</v>
      </c>
      <c r="G5" s="16">
        <v>95630</v>
      </c>
      <c r="K5" s="17">
        <v>8564005</v>
      </c>
      <c r="L5" s="17">
        <v>2738709</v>
      </c>
      <c r="M5" s="17">
        <v>2035719</v>
      </c>
      <c r="N5" s="18">
        <v>36892</v>
      </c>
      <c r="O5" s="13">
        <v>1</v>
      </c>
      <c r="P5" s="19">
        <v>43743</v>
      </c>
      <c r="Q5" s="13">
        <v>1</v>
      </c>
      <c r="R5" s="13" t="s">
        <v>55</v>
      </c>
      <c r="T5" s="13" t="s">
        <v>56</v>
      </c>
      <c r="U5" s="13" t="s">
        <v>57</v>
      </c>
      <c r="V5" s="13" t="s">
        <v>58</v>
      </c>
      <c r="W5" s="13" t="s">
        <v>59</v>
      </c>
      <c r="X5" s="13" t="s">
        <v>56</v>
      </c>
      <c r="Y5" s="13" t="s">
        <v>60</v>
      </c>
      <c r="Z5" s="13" t="s">
        <v>78</v>
      </c>
      <c r="AA5" s="13" t="s">
        <v>62</v>
      </c>
      <c r="AB5" s="13" t="s">
        <v>56</v>
      </c>
      <c r="AC5" s="13" t="s">
        <v>63</v>
      </c>
      <c r="AD5" s="18">
        <v>36892</v>
      </c>
      <c r="AE5" s="13" t="s">
        <v>56</v>
      </c>
      <c r="AF5" s="18">
        <v>36892</v>
      </c>
      <c r="AG5" s="13" t="s">
        <v>64</v>
      </c>
      <c r="AH5" s="13" t="s">
        <v>65</v>
      </c>
      <c r="AI5" s="13" t="s">
        <v>64</v>
      </c>
      <c r="AJ5" s="13" t="s">
        <v>56</v>
      </c>
      <c r="AK5" s="13" t="s">
        <v>56</v>
      </c>
      <c r="AN5" s="13">
        <v>3</v>
      </c>
      <c r="AS5" s="13" t="s">
        <v>66</v>
      </c>
      <c r="AT5" s="13" t="s">
        <v>67</v>
      </c>
      <c r="AU5" s="13" t="s">
        <v>68</v>
      </c>
      <c r="AV5" s="13" t="s">
        <v>69</v>
      </c>
      <c r="AW5" s="20">
        <f>SUM((('[1]Policy Test Cases'!$H$83+'[1]Policy Test Cases'!$H$84+'[1]Policy Test Cases'!$H$85+'[1]Policy Test Cases'!$H$86+'[1]Policy Test Cases'!$H$87+'[1]Policy Test Cases'!$H$89)/'[1]Policy Test Cases'!$H$55)*('[1]SOV 4'!K5+'[1]SOV 4'!L5+'[1]SOV 4'!M5))</f>
        <v>23631.20422649469</v>
      </c>
      <c r="AX5" s="20">
        <f>(('[1]Policy Test Cases'!$H$88/'[1]Policy Test Cases'!$H$55)*('[1]SOV 4'!K5+'[1]SOV 4'!L5+'[1]SOV 4'!M5))</f>
        <v>31764.108701026194</v>
      </c>
      <c r="AY5" s="20">
        <f t="shared" si="0"/>
        <v>55395.312927520885</v>
      </c>
    </row>
    <row r="6" spans="1:51" x14ac:dyDescent="0.45">
      <c r="A6" s="13" t="s">
        <v>79</v>
      </c>
      <c r="B6" s="13">
        <v>5</v>
      </c>
      <c r="C6" s="14" t="s">
        <v>80</v>
      </c>
      <c r="E6" s="15" t="s">
        <v>81</v>
      </c>
      <c r="F6" s="15" t="s">
        <v>54</v>
      </c>
      <c r="G6" s="16">
        <v>95020</v>
      </c>
      <c r="K6" s="17">
        <v>4230000</v>
      </c>
      <c r="L6" s="17">
        <v>520000</v>
      </c>
      <c r="M6" s="17">
        <v>589537</v>
      </c>
      <c r="N6" s="18">
        <v>35431</v>
      </c>
      <c r="O6" s="13">
        <v>1</v>
      </c>
      <c r="P6" s="19">
        <v>25335</v>
      </c>
      <c r="Q6" s="13">
        <v>1</v>
      </c>
      <c r="R6" s="13" t="s">
        <v>55</v>
      </c>
      <c r="T6" s="13" t="s">
        <v>56</v>
      </c>
      <c r="U6" s="13" t="s">
        <v>57</v>
      </c>
      <c r="V6" s="13" t="s">
        <v>58</v>
      </c>
      <c r="W6" s="13" t="s">
        <v>59</v>
      </c>
      <c r="X6" s="13" t="s">
        <v>56</v>
      </c>
      <c r="Y6" s="13" t="s">
        <v>60</v>
      </c>
      <c r="Z6" s="13" t="s">
        <v>78</v>
      </c>
      <c r="AA6" s="13" t="s">
        <v>62</v>
      </c>
      <c r="AB6" s="13" t="s">
        <v>56</v>
      </c>
      <c r="AC6" s="13" t="s">
        <v>63</v>
      </c>
      <c r="AD6" s="18">
        <v>35431</v>
      </c>
      <c r="AE6" s="13" t="s">
        <v>56</v>
      </c>
      <c r="AF6" s="18">
        <v>35431</v>
      </c>
      <c r="AG6" s="13" t="s">
        <v>64</v>
      </c>
      <c r="AH6" s="13" t="s">
        <v>65</v>
      </c>
      <c r="AI6" s="13" t="s">
        <v>64</v>
      </c>
      <c r="AJ6" s="13" t="s">
        <v>56</v>
      </c>
      <c r="AK6" s="13" t="s">
        <v>56</v>
      </c>
      <c r="AN6" s="13">
        <v>3</v>
      </c>
      <c r="AS6" s="13" t="s">
        <v>82</v>
      </c>
      <c r="AT6" s="13" t="s">
        <v>67</v>
      </c>
      <c r="AU6" s="13" t="s">
        <v>68</v>
      </c>
      <c r="AV6" s="13" t="s">
        <v>69</v>
      </c>
      <c r="AW6" s="20">
        <f>SUM((('[1]Policy Test Cases'!$H$83+'[1]Policy Test Cases'!$H$84+'[1]Policy Test Cases'!$H$85+'[1]Policy Test Cases'!$H$86+'[1]Policy Test Cases'!$H$87+'[1]Policy Test Cases'!$H$89)/'[1]Policy Test Cases'!$H$55)*('[1]SOV 4'!K6+'[1]SOV 4'!L6+'[1]SOV 4'!M6))</f>
        <v>9459.858539749368</v>
      </c>
      <c r="AX6" s="20">
        <f>(('[1]Policy Test Cases'!$H$88/'[1]Policy Test Cases'!$H$55)*('[1]SOV 4'!K6+'[1]SOV 4'!L6+'[1]SOV 4'!M6))</f>
        <v>12715.559142603281</v>
      </c>
      <c r="AY6" s="20">
        <f t="shared" si="0"/>
        <v>22175.41768235265</v>
      </c>
    </row>
    <row r="7" spans="1:51" x14ac:dyDescent="0.45">
      <c r="A7" s="13" t="s">
        <v>83</v>
      </c>
      <c r="B7" s="13">
        <v>6</v>
      </c>
      <c r="C7" s="14" t="s">
        <v>84</v>
      </c>
      <c r="E7" s="15" t="s">
        <v>85</v>
      </c>
      <c r="F7" s="15" t="s">
        <v>86</v>
      </c>
      <c r="G7" s="16">
        <v>21044</v>
      </c>
      <c r="K7" s="17">
        <v>0</v>
      </c>
      <c r="L7" s="17">
        <v>85150</v>
      </c>
      <c r="M7" s="17">
        <v>0</v>
      </c>
      <c r="N7" s="18"/>
      <c r="O7" s="13">
        <v>0</v>
      </c>
      <c r="P7" s="19">
        <v>3385</v>
      </c>
      <c r="Q7" s="13">
        <v>1</v>
      </c>
      <c r="R7" s="13" t="s">
        <v>56</v>
      </c>
      <c r="T7" s="13" t="s">
        <v>87</v>
      </c>
      <c r="U7" s="13" t="s">
        <v>74</v>
      </c>
      <c r="V7" s="13" t="s">
        <v>58</v>
      </c>
      <c r="W7" s="13" t="s">
        <v>59</v>
      </c>
      <c r="X7" s="13" t="s">
        <v>56</v>
      </c>
      <c r="Y7" s="13" t="s">
        <v>60</v>
      </c>
      <c r="Z7" s="13" t="s">
        <v>78</v>
      </c>
      <c r="AA7" s="13" t="s">
        <v>62</v>
      </c>
      <c r="AB7" s="13" t="s">
        <v>56</v>
      </c>
      <c r="AC7" s="13" t="s">
        <v>63</v>
      </c>
      <c r="AD7" s="18"/>
      <c r="AE7" s="13" t="s">
        <v>56</v>
      </c>
      <c r="AF7" s="18"/>
      <c r="AG7" s="13" t="s">
        <v>64</v>
      </c>
      <c r="AH7" s="13" t="s">
        <v>65</v>
      </c>
      <c r="AI7" s="13" t="s">
        <v>64</v>
      </c>
      <c r="AJ7" s="13" t="s">
        <v>56</v>
      </c>
      <c r="AK7" s="13" t="s">
        <v>56</v>
      </c>
      <c r="AN7" s="13">
        <v>3</v>
      </c>
      <c r="AS7" s="13" t="s">
        <v>66</v>
      </c>
      <c r="AT7" s="13" t="s">
        <v>67</v>
      </c>
      <c r="AU7" s="13" t="s">
        <v>68</v>
      </c>
      <c r="AV7" s="13" t="s">
        <v>69</v>
      </c>
      <c r="AW7" s="20">
        <f>SUM((('[1]Policy Test Cases'!$H$83+'[1]Policy Test Cases'!$H$84+'[1]Policy Test Cases'!$H$85+'[1]Policy Test Cases'!$H$86+'[1]Policy Test Cases'!$H$87+'[1]Policy Test Cases'!$H$89)/'[1]Policy Test Cases'!$H$55)*('[1]SOV 4'!K7+'[1]SOV 4'!L7+'[1]SOV 4'!M7))</f>
        <v>150.8570789301879</v>
      </c>
      <c r="AX7" s="20">
        <f>(('[1]Policy Test Cases'!$H$88/'[1]Policy Test Cases'!$H$55)*('[1]SOV 4'!K7+'[1]SOV 4'!L7+'[1]SOV 4'!M7))</f>
        <v>202.77598244804173</v>
      </c>
      <c r="AY7" s="20">
        <f t="shared" si="0"/>
        <v>353.63306137822963</v>
      </c>
    </row>
    <row r="8" spans="1:51" x14ac:dyDescent="0.45">
      <c r="A8" s="13" t="s">
        <v>88</v>
      </c>
      <c r="B8" s="13">
        <v>7</v>
      </c>
      <c r="C8" s="14" t="s">
        <v>89</v>
      </c>
      <c r="E8" s="15" t="s">
        <v>90</v>
      </c>
      <c r="F8" s="15" t="s">
        <v>91</v>
      </c>
      <c r="G8" s="16">
        <v>27707</v>
      </c>
      <c r="K8" s="17">
        <v>0</v>
      </c>
      <c r="L8" s="17">
        <v>5150</v>
      </c>
      <c r="M8" s="17">
        <v>25000</v>
      </c>
      <c r="N8" s="18"/>
      <c r="O8" s="13">
        <v>0</v>
      </c>
      <c r="P8" s="19">
        <v>8500</v>
      </c>
      <c r="Q8" s="13">
        <v>1</v>
      </c>
      <c r="R8" s="13" t="s">
        <v>56</v>
      </c>
      <c r="T8" s="13" t="s">
        <v>87</v>
      </c>
      <c r="U8" s="13" t="s">
        <v>74</v>
      </c>
      <c r="V8" s="13" t="s">
        <v>58</v>
      </c>
      <c r="W8" s="13" t="s">
        <v>59</v>
      </c>
      <c r="X8" s="13" t="s">
        <v>56</v>
      </c>
      <c r="Y8" s="13" t="s">
        <v>60</v>
      </c>
      <c r="Z8" s="13" t="s">
        <v>78</v>
      </c>
      <c r="AA8" s="13" t="s">
        <v>62</v>
      </c>
      <c r="AB8" s="13" t="s">
        <v>56</v>
      </c>
      <c r="AC8" s="13" t="s">
        <v>63</v>
      </c>
      <c r="AD8" s="18"/>
      <c r="AE8" s="13" t="s">
        <v>56</v>
      </c>
      <c r="AF8" s="18"/>
      <c r="AG8" s="13" t="s">
        <v>64</v>
      </c>
      <c r="AH8" s="13" t="s">
        <v>65</v>
      </c>
      <c r="AI8" s="13" t="s">
        <v>64</v>
      </c>
      <c r="AJ8" s="13" t="s">
        <v>56</v>
      </c>
      <c r="AK8" s="13" t="s">
        <v>56</v>
      </c>
      <c r="AN8" s="13">
        <v>4</v>
      </c>
      <c r="AS8" s="13" t="s">
        <v>66</v>
      </c>
      <c r="AT8" s="13" t="s">
        <v>67</v>
      </c>
      <c r="AU8" s="13" t="s">
        <v>68</v>
      </c>
      <c r="AV8" s="13" t="s">
        <v>69</v>
      </c>
      <c r="AW8" s="20">
        <f>SUM((('[1]Policy Test Cases'!$H$83+'[1]Policy Test Cases'!$H$84+'[1]Policy Test Cases'!$H$85+'[1]Policy Test Cases'!$H$86+'[1]Policy Test Cases'!$H$87+'[1]Policy Test Cases'!$H$89)/'[1]Policy Test Cases'!$H$55)*('[1]SOV 4'!K8+'[1]SOV 4'!L8+'[1]SOV 4'!M8))</f>
        <v>53.415630413918556</v>
      </c>
      <c r="AX8" s="20">
        <f>(('[1]Policy Test Cases'!$H$88/'[1]Policy Test Cases'!$H$55)*('[1]SOV 4'!K8+'[1]SOV 4'!L8+'[1]SOV 4'!M8))</f>
        <v>71.799129428167447</v>
      </c>
      <c r="AY8" s="20">
        <f t="shared" si="0"/>
        <v>125.21475984208601</v>
      </c>
    </row>
    <row r="9" spans="1:51" x14ac:dyDescent="0.45">
      <c r="A9" s="13" t="s">
        <v>92</v>
      </c>
      <c r="B9" s="13">
        <v>8</v>
      </c>
      <c r="C9" s="14" t="s">
        <v>93</v>
      </c>
      <c r="E9" s="15" t="s">
        <v>90</v>
      </c>
      <c r="F9" s="15" t="s">
        <v>91</v>
      </c>
      <c r="G9" s="16">
        <v>27701</v>
      </c>
      <c r="K9" s="17">
        <v>0</v>
      </c>
      <c r="L9" s="17">
        <v>369500</v>
      </c>
      <c r="M9" s="17">
        <v>25000</v>
      </c>
      <c r="N9" s="18"/>
      <c r="O9" s="13">
        <v>0</v>
      </c>
      <c r="P9" s="19">
        <v>5158</v>
      </c>
      <c r="Q9" s="13">
        <v>1</v>
      </c>
      <c r="R9" s="13" t="s">
        <v>56</v>
      </c>
      <c r="T9" s="13" t="s">
        <v>87</v>
      </c>
      <c r="U9" s="13" t="s">
        <v>74</v>
      </c>
      <c r="V9" s="13" t="s">
        <v>58</v>
      </c>
      <c r="W9" s="13" t="s">
        <v>59</v>
      </c>
      <c r="X9" s="13" t="s">
        <v>56</v>
      </c>
      <c r="Y9" s="13" t="s">
        <v>60</v>
      </c>
      <c r="Z9" s="13" t="s">
        <v>61</v>
      </c>
      <c r="AA9" s="13" t="s">
        <v>62</v>
      </c>
      <c r="AB9" s="13" t="s">
        <v>56</v>
      </c>
      <c r="AC9" s="13" t="s">
        <v>63</v>
      </c>
      <c r="AD9" s="18"/>
      <c r="AE9" s="13" t="s">
        <v>56</v>
      </c>
      <c r="AF9" s="18"/>
      <c r="AG9" s="13" t="s">
        <v>64</v>
      </c>
      <c r="AH9" s="13" t="s">
        <v>65</v>
      </c>
      <c r="AI9" s="13" t="s">
        <v>64</v>
      </c>
      <c r="AJ9" s="13" t="s">
        <v>56</v>
      </c>
      <c r="AK9" s="13" t="s">
        <v>56</v>
      </c>
      <c r="AN9" s="13">
        <v>4</v>
      </c>
      <c r="AS9" s="13" t="s">
        <v>66</v>
      </c>
      <c r="AT9" s="13" t="s">
        <v>67</v>
      </c>
      <c r="AU9" s="13" t="s">
        <v>68</v>
      </c>
      <c r="AV9" s="13" t="s">
        <v>69</v>
      </c>
      <c r="AW9" s="20">
        <f>SUM((('[1]Policy Test Cases'!$H$83+'[1]Policy Test Cases'!$H$84+'[1]Policy Test Cases'!$H$85+'[1]Policy Test Cases'!$H$86+'[1]Policy Test Cases'!$H$87+'[1]Policy Test Cases'!$H$89)/'[1]Policy Test Cases'!$H$55)*('[1]SOV 4'!K9+'[1]SOV 4'!L9+'[1]SOV 4'!M9))</f>
        <v>698.92093526669555</v>
      </c>
      <c r="AX9" s="20">
        <f>(('[1]Policy Test Cases'!$H$88/'[1]Policy Test Cases'!$H$55)*('[1]SOV 4'!K9+'[1]SOV 4'!L9+'[1]SOV 4'!M9))</f>
        <v>939.46124575164367</v>
      </c>
      <c r="AY9" s="20">
        <f t="shared" si="0"/>
        <v>1638.3821810183392</v>
      </c>
    </row>
    <row r="10" spans="1:51" x14ac:dyDescent="0.45">
      <c r="A10" s="13" t="s">
        <v>94</v>
      </c>
      <c r="B10" s="13">
        <v>9</v>
      </c>
      <c r="C10" s="14" t="s">
        <v>95</v>
      </c>
      <c r="E10" s="15" t="s">
        <v>96</v>
      </c>
      <c r="F10" s="15" t="s">
        <v>91</v>
      </c>
      <c r="G10" s="16">
        <v>28208</v>
      </c>
      <c r="K10" s="17">
        <v>0</v>
      </c>
      <c r="L10" s="17">
        <v>151500</v>
      </c>
      <c r="M10" s="17">
        <v>25000</v>
      </c>
      <c r="N10" s="18"/>
      <c r="O10" s="13">
        <v>0</v>
      </c>
      <c r="P10" s="19">
        <v>0</v>
      </c>
      <c r="Q10" s="13">
        <v>1</v>
      </c>
      <c r="R10" s="13" t="s">
        <v>56</v>
      </c>
      <c r="T10" s="13" t="s">
        <v>87</v>
      </c>
      <c r="U10" s="13" t="s">
        <v>74</v>
      </c>
      <c r="V10" s="13" t="s">
        <v>58</v>
      </c>
      <c r="W10" s="13" t="s">
        <v>59</v>
      </c>
      <c r="X10" s="13" t="s">
        <v>56</v>
      </c>
      <c r="Y10" s="13" t="s">
        <v>60</v>
      </c>
      <c r="Z10" s="13" t="s">
        <v>61</v>
      </c>
      <c r="AA10" s="13" t="s">
        <v>62</v>
      </c>
      <c r="AB10" s="13" t="s">
        <v>56</v>
      </c>
      <c r="AC10" s="13" t="s">
        <v>63</v>
      </c>
      <c r="AD10" s="18"/>
      <c r="AE10" s="13" t="s">
        <v>56</v>
      </c>
      <c r="AF10" s="18"/>
      <c r="AG10" s="13" t="s">
        <v>64</v>
      </c>
      <c r="AH10" s="13" t="s">
        <v>65</v>
      </c>
      <c r="AI10" s="13" t="s">
        <v>64</v>
      </c>
      <c r="AJ10" s="13" t="s">
        <v>56</v>
      </c>
      <c r="AK10" s="13" t="s">
        <v>56</v>
      </c>
      <c r="AN10" s="13">
        <v>4</v>
      </c>
      <c r="AS10" s="13" t="s">
        <v>66</v>
      </c>
      <c r="AT10" s="13" t="s">
        <v>67</v>
      </c>
      <c r="AU10" s="13" t="s">
        <v>68</v>
      </c>
      <c r="AV10" s="13" t="s">
        <v>69</v>
      </c>
      <c r="AW10" s="20">
        <f>SUM((('[1]Policy Test Cases'!$H$83+'[1]Policy Test Cases'!$H$84+'[1]Policy Test Cases'!$H$85+'[1]Policy Test Cases'!$H$86+'[1]Policy Test Cases'!$H$87+'[1]Policy Test Cases'!$H$89)/'[1]Policy Test Cases'!$H$55)*('[1]SOV 4'!K10+'[1]SOV 4'!L10+'[1]SOV 4'!M10))</f>
        <v>312.69846660220981</v>
      </c>
      <c r="AX10" s="20">
        <f>(('[1]Policy Test Cases'!$H$88/'[1]Policy Test Cases'!$H$55)*('[1]SOV 4'!K10+'[1]SOV 4'!L10+'[1]SOV 4'!M10))</f>
        <v>420.31662832741472</v>
      </c>
      <c r="AY10" s="20">
        <f t="shared" si="0"/>
        <v>733.01509492962452</v>
      </c>
    </row>
    <row r="11" spans="1:51" x14ac:dyDescent="0.45">
      <c r="A11" s="13" t="s">
        <v>97</v>
      </c>
      <c r="B11" s="13">
        <v>10</v>
      </c>
      <c r="C11" s="14" t="s">
        <v>98</v>
      </c>
      <c r="E11" s="15" t="s">
        <v>99</v>
      </c>
      <c r="F11" s="15" t="s">
        <v>100</v>
      </c>
      <c r="G11" s="16">
        <v>8054</v>
      </c>
      <c r="K11" s="17">
        <v>0</v>
      </c>
      <c r="L11" s="17">
        <v>85150</v>
      </c>
      <c r="M11" s="17">
        <v>0</v>
      </c>
      <c r="N11" s="18"/>
      <c r="O11" s="13">
        <v>0</v>
      </c>
      <c r="P11" s="19">
        <v>0</v>
      </c>
      <c r="Q11" s="13">
        <v>1</v>
      </c>
      <c r="R11" s="13" t="s">
        <v>56</v>
      </c>
      <c r="T11" s="13" t="s">
        <v>87</v>
      </c>
      <c r="U11" s="13" t="s">
        <v>74</v>
      </c>
      <c r="V11" s="13" t="s">
        <v>58</v>
      </c>
      <c r="W11" s="13" t="s">
        <v>59</v>
      </c>
      <c r="X11" s="13" t="s">
        <v>56</v>
      </c>
      <c r="Y11" s="13" t="s">
        <v>60</v>
      </c>
      <c r="Z11" s="13" t="s">
        <v>61</v>
      </c>
      <c r="AA11" s="13" t="s">
        <v>62</v>
      </c>
      <c r="AB11" s="13" t="s">
        <v>56</v>
      </c>
      <c r="AC11" s="13" t="s">
        <v>63</v>
      </c>
      <c r="AD11" s="18"/>
      <c r="AE11" s="13" t="s">
        <v>56</v>
      </c>
      <c r="AF11" s="18"/>
      <c r="AG11" s="13" t="s">
        <v>64</v>
      </c>
      <c r="AH11" s="13" t="s">
        <v>65</v>
      </c>
      <c r="AI11" s="13" t="s">
        <v>64</v>
      </c>
      <c r="AJ11" s="13" t="s">
        <v>56</v>
      </c>
      <c r="AK11" s="13" t="s">
        <v>56</v>
      </c>
      <c r="AN11" s="13">
        <v>4</v>
      </c>
      <c r="AS11" s="13" t="s">
        <v>66</v>
      </c>
      <c r="AT11" s="13" t="s">
        <v>67</v>
      </c>
      <c r="AU11" s="13" t="s">
        <v>68</v>
      </c>
      <c r="AV11" s="13" t="s">
        <v>69</v>
      </c>
      <c r="AW11" s="20">
        <f>SUM((('[1]Policy Test Cases'!$H$83+'[1]Policy Test Cases'!$H$84+'[1]Policy Test Cases'!$H$85+'[1]Policy Test Cases'!$H$86+'[1]Policy Test Cases'!$H$87+'[1]Policy Test Cases'!$H$89)/'[1]Policy Test Cases'!$H$55)*('[1]SOV 4'!K11+'[1]SOV 4'!L11+'[1]SOV 4'!M11))</f>
        <v>150.8570789301879</v>
      </c>
      <c r="AX11" s="20">
        <f>(('[1]Policy Test Cases'!$H$88/'[1]Policy Test Cases'!$H$55)*('[1]SOV 4'!K11+'[1]SOV 4'!L11+'[1]SOV 4'!M11))</f>
        <v>202.77598244804173</v>
      </c>
      <c r="AY11" s="20">
        <f t="shared" si="0"/>
        <v>353.63306137822963</v>
      </c>
    </row>
    <row r="12" spans="1:51" x14ac:dyDescent="0.45">
      <c r="A12" s="13" t="s">
        <v>101</v>
      </c>
      <c r="B12" s="13">
        <v>11</v>
      </c>
      <c r="C12" s="14" t="s">
        <v>102</v>
      </c>
      <c r="E12" s="15" t="s">
        <v>103</v>
      </c>
      <c r="F12" s="15" t="s">
        <v>100</v>
      </c>
      <c r="G12" s="16">
        <v>8026</v>
      </c>
      <c r="K12" s="17">
        <v>0</v>
      </c>
      <c r="L12" s="17">
        <v>125000</v>
      </c>
      <c r="M12" s="17">
        <v>25000</v>
      </c>
      <c r="N12" s="18">
        <v>43101</v>
      </c>
      <c r="O12" s="13">
        <v>0</v>
      </c>
      <c r="P12" s="19">
        <v>2800</v>
      </c>
      <c r="Q12" s="13">
        <v>1</v>
      </c>
      <c r="R12" s="13" t="s">
        <v>104</v>
      </c>
      <c r="T12" s="13" t="s">
        <v>87</v>
      </c>
      <c r="U12" s="13" t="s">
        <v>74</v>
      </c>
      <c r="V12" s="13" t="s">
        <v>58</v>
      </c>
      <c r="W12" s="13" t="s">
        <v>59</v>
      </c>
      <c r="X12" s="13" t="s">
        <v>56</v>
      </c>
      <c r="Y12" s="13" t="s">
        <v>60</v>
      </c>
      <c r="Z12" s="13" t="s">
        <v>61</v>
      </c>
      <c r="AA12" s="13" t="s">
        <v>62</v>
      </c>
      <c r="AB12" s="13" t="s">
        <v>56</v>
      </c>
      <c r="AC12" s="13" t="s">
        <v>63</v>
      </c>
      <c r="AD12" s="18">
        <v>43101</v>
      </c>
      <c r="AE12" s="13" t="s">
        <v>56</v>
      </c>
      <c r="AF12" s="18">
        <v>43101</v>
      </c>
      <c r="AG12" s="13" t="s">
        <v>64</v>
      </c>
      <c r="AH12" s="13" t="s">
        <v>65</v>
      </c>
      <c r="AI12" s="13" t="s">
        <v>64</v>
      </c>
      <c r="AJ12" s="13" t="s">
        <v>56</v>
      </c>
      <c r="AK12" s="13" t="s">
        <v>56</v>
      </c>
      <c r="AN12" s="13">
        <v>4</v>
      </c>
      <c r="AS12" s="13" t="s">
        <v>66</v>
      </c>
      <c r="AT12" s="13" t="s">
        <v>67</v>
      </c>
      <c r="AU12" s="13" t="s">
        <v>68</v>
      </c>
      <c r="AV12" s="13" t="s">
        <v>69</v>
      </c>
      <c r="AW12" s="20">
        <f>SUM((('[1]Policy Test Cases'!$H$83+'[1]Policy Test Cases'!$H$84+'[1]Policy Test Cases'!$H$85+'[1]Policy Test Cases'!$H$86+'[1]Policy Test Cases'!$H$87+'[1]Policy Test Cases'!$H$89)/'[1]Policy Test Cases'!$H$55)*('[1]SOV 4'!K12+'[1]SOV 4'!L12+'[1]SOV 4'!M12))</f>
        <v>265.74940504437092</v>
      </c>
      <c r="AX12" s="20">
        <f>(('[1]Policy Test Cases'!$H$88/'[1]Policy Test Cases'!$H$55)*('[1]SOV 4'!K12+'[1]SOV 4'!L12+'[1]SOV 4'!M12))</f>
        <v>357.20959914511167</v>
      </c>
      <c r="AY12" s="20">
        <f t="shared" si="0"/>
        <v>622.95900418948258</v>
      </c>
    </row>
    <row r="13" spans="1:51" x14ac:dyDescent="0.45">
      <c r="A13" s="13" t="s">
        <v>105</v>
      </c>
      <c r="B13" s="13">
        <v>12</v>
      </c>
      <c r="C13" s="14" t="s">
        <v>106</v>
      </c>
      <c r="E13" s="15" t="s">
        <v>107</v>
      </c>
      <c r="F13" s="15" t="s">
        <v>108</v>
      </c>
      <c r="G13" s="15">
        <v>13901</v>
      </c>
      <c r="K13" s="17">
        <v>225000</v>
      </c>
      <c r="L13" s="17">
        <v>233000</v>
      </c>
      <c r="M13" s="17">
        <v>25000</v>
      </c>
      <c r="N13" s="18"/>
      <c r="O13" s="13">
        <v>0</v>
      </c>
      <c r="P13" s="19">
        <v>4700</v>
      </c>
      <c r="Q13" s="13">
        <v>1</v>
      </c>
      <c r="R13" s="13" t="s">
        <v>55</v>
      </c>
      <c r="T13" s="13" t="s">
        <v>87</v>
      </c>
      <c r="U13" s="13" t="s">
        <v>57</v>
      </c>
      <c r="V13" s="13" t="s">
        <v>58</v>
      </c>
      <c r="W13" s="13" t="s">
        <v>59</v>
      </c>
      <c r="X13" s="13" t="s">
        <v>56</v>
      </c>
      <c r="Y13" s="13" t="s">
        <v>60</v>
      </c>
      <c r="Z13" s="13" t="s">
        <v>61</v>
      </c>
      <c r="AA13" s="13" t="s">
        <v>62</v>
      </c>
      <c r="AB13" s="13" t="s">
        <v>56</v>
      </c>
      <c r="AC13" s="13" t="s">
        <v>63</v>
      </c>
      <c r="AD13" s="18"/>
      <c r="AE13" s="13" t="s">
        <v>56</v>
      </c>
      <c r="AF13" s="18"/>
      <c r="AG13" s="13" t="s">
        <v>64</v>
      </c>
      <c r="AH13" s="13" t="s">
        <v>65</v>
      </c>
      <c r="AI13" s="13" t="s">
        <v>64</v>
      </c>
      <c r="AJ13" s="13" t="s">
        <v>56</v>
      </c>
      <c r="AK13" s="13" t="s">
        <v>56</v>
      </c>
      <c r="AN13" s="13">
        <v>4</v>
      </c>
      <c r="AS13" s="13" t="s">
        <v>66</v>
      </c>
      <c r="AT13" s="13" t="s">
        <v>67</v>
      </c>
      <c r="AU13" s="13" t="s">
        <v>68</v>
      </c>
      <c r="AV13" s="13" t="s">
        <v>69</v>
      </c>
      <c r="AW13" s="20">
        <f>SUM((('[1]Policy Test Cases'!$H$83+'[1]Policy Test Cases'!$H$84+'[1]Policy Test Cases'!$H$85+'[1]Policy Test Cases'!$H$86+'[1]Policy Test Cases'!$H$87+'[1]Policy Test Cases'!$H$89)/'[1]Policy Test Cases'!$H$55)*('[1]SOV 4'!K13+'[1]SOV 4'!L13+'[1]SOV 4'!M13))</f>
        <v>855.7130842428744</v>
      </c>
      <c r="AX13" s="20">
        <f>(('[1]Policy Test Cases'!$H$88/'[1]Policy Test Cases'!$H$55)*('[1]SOV 4'!K13+'[1]SOV 4'!L13+'[1]SOV 4'!M13))</f>
        <v>1150.2149092472596</v>
      </c>
      <c r="AY13" s="20">
        <f t="shared" si="0"/>
        <v>2005.927993490134</v>
      </c>
    </row>
    <row r="14" spans="1:51" x14ac:dyDescent="0.45">
      <c r="A14" s="13" t="s">
        <v>109</v>
      </c>
      <c r="B14" s="13">
        <v>13</v>
      </c>
      <c r="C14" s="14" t="s">
        <v>110</v>
      </c>
      <c r="E14" s="15" t="s">
        <v>111</v>
      </c>
      <c r="F14" s="15" t="s">
        <v>108</v>
      </c>
      <c r="G14" s="15">
        <v>14225</v>
      </c>
      <c r="K14" s="17">
        <v>0</v>
      </c>
      <c r="L14" s="17">
        <v>125750</v>
      </c>
      <c r="M14" s="17">
        <v>25000</v>
      </c>
      <c r="N14" s="18">
        <v>32874</v>
      </c>
      <c r="O14" s="13">
        <v>1</v>
      </c>
      <c r="P14" s="19">
        <v>4266</v>
      </c>
      <c r="Q14" s="13">
        <v>1</v>
      </c>
      <c r="R14" s="13" t="s">
        <v>55</v>
      </c>
      <c r="T14" s="13" t="s">
        <v>87</v>
      </c>
      <c r="U14" s="13" t="s">
        <v>74</v>
      </c>
      <c r="V14" s="13" t="s">
        <v>58</v>
      </c>
      <c r="W14" s="13" t="s">
        <v>59</v>
      </c>
      <c r="X14" s="13" t="s">
        <v>56</v>
      </c>
      <c r="Y14" s="13" t="s">
        <v>56</v>
      </c>
      <c r="Z14" s="13" t="s">
        <v>61</v>
      </c>
      <c r="AA14" s="13" t="s">
        <v>112</v>
      </c>
      <c r="AB14" s="13" t="s">
        <v>56</v>
      </c>
      <c r="AC14" s="13" t="s">
        <v>63</v>
      </c>
      <c r="AD14" s="18">
        <v>32874</v>
      </c>
      <c r="AE14" s="13" t="s">
        <v>56</v>
      </c>
      <c r="AF14" s="18">
        <v>32874</v>
      </c>
      <c r="AG14" s="13" t="s">
        <v>64</v>
      </c>
      <c r="AH14" s="13" t="s">
        <v>113</v>
      </c>
      <c r="AI14" s="13" t="s">
        <v>64</v>
      </c>
      <c r="AJ14" s="13" t="s">
        <v>56</v>
      </c>
      <c r="AK14" s="13" t="s">
        <v>56</v>
      </c>
      <c r="AN14" s="13">
        <v>4</v>
      </c>
      <c r="AS14" s="13" t="s">
        <v>66</v>
      </c>
      <c r="AT14" s="13" t="s">
        <v>67</v>
      </c>
      <c r="AU14" s="13" t="s">
        <v>68</v>
      </c>
      <c r="AV14" s="13" t="s">
        <v>69</v>
      </c>
      <c r="AW14" s="20">
        <f>SUM((('[1]Policy Test Cases'!$H$83+'[1]Policy Test Cases'!$H$84+'[1]Policy Test Cases'!$H$85+'[1]Policy Test Cases'!$H$86+'[1]Policy Test Cases'!$H$87+'[1]Policy Test Cases'!$H$89)/'[1]Policy Test Cases'!$H$55)*('[1]SOV 4'!K14+'[1]SOV 4'!L14+'[1]SOV 4'!M14))</f>
        <v>267.07815206959276</v>
      </c>
      <c r="AX14" s="20">
        <f>(('[1]Policy Test Cases'!$H$88/'[1]Policy Test Cases'!$H$55)*('[1]SOV 4'!K14+'[1]SOV 4'!L14+'[1]SOV 4'!M14))</f>
        <v>358.99564714083721</v>
      </c>
      <c r="AY14" s="20">
        <f t="shared" si="0"/>
        <v>626.07379921043002</v>
      </c>
    </row>
    <row r="15" spans="1:51" x14ac:dyDescent="0.45">
      <c r="A15" s="13" t="s">
        <v>114</v>
      </c>
      <c r="B15" s="13">
        <v>14</v>
      </c>
      <c r="C15" s="14" t="s">
        <v>115</v>
      </c>
      <c r="E15" s="15" t="s">
        <v>116</v>
      </c>
      <c r="F15" s="15" t="s">
        <v>108</v>
      </c>
      <c r="G15" s="16">
        <v>14606</v>
      </c>
      <c r="K15" s="17">
        <v>525300</v>
      </c>
      <c r="L15" s="17">
        <v>690000</v>
      </c>
      <c r="M15" s="17">
        <v>25000</v>
      </c>
      <c r="N15" s="18">
        <v>27395</v>
      </c>
      <c r="O15" s="13">
        <v>1</v>
      </c>
      <c r="P15" s="19">
        <v>17358</v>
      </c>
      <c r="Q15" s="13">
        <v>1</v>
      </c>
      <c r="R15" s="13" t="s">
        <v>117</v>
      </c>
      <c r="T15" s="13" t="s">
        <v>87</v>
      </c>
      <c r="U15" s="13" t="s">
        <v>118</v>
      </c>
      <c r="V15" s="13" t="s">
        <v>58</v>
      </c>
      <c r="W15" s="13" t="s">
        <v>59</v>
      </c>
      <c r="X15" s="13" t="s">
        <v>56</v>
      </c>
      <c r="Y15" s="13" t="s">
        <v>56</v>
      </c>
      <c r="Z15" s="13" t="s">
        <v>61</v>
      </c>
      <c r="AA15" s="13" t="s">
        <v>112</v>
      </c>
      <c r="AB15" s="13" t="s">
        <v>56</v>
      </c>
      <c r="AC15" s="13" t="s">
        <v>63</v>
      </c>
      <c r="AD15" s="18">
        <v>27395</v>
      </c>
      <c r="AE15" s="13" t="s">
        <v>56</v>
      </c>
      <c r="AF15" s="18">
        <v>27395</v>
      </c>
      <c r="AG15" s="13" t="s">
        <v>64</v>
      </c>
      <c r="AH15" s="13" t="s">
        <v>113</v>
      </c>
      <c r="AI15" s="13" t="s">
        <v>64</v>
      </c>
      <c r="AJ15" s="13" t="s">
        <v>56</v>
      </c>
      <c r="AK15" s="13" t="s">
        <v>56</v>
      </c>
      <c r="AN15" s="13">
        <v>4</v>
      </c>
      <c r="AS15" s="13" t="s">
        <v>66</v>
      </c>
      <c r="AT15" s="13" t="s">
        <v>67</v>
      </c>
      <c r="AU15" s="13" t="s">
        <v>68</v>
      </c>
      <c r="AV15" s="13" t="s">
        <v>69</v>
      </c>
      <c r="AW15" s="20">
        <f>SUM((('[1]Policy Test Cases'!$H$83+'[1]Policy Test Cases'!$H$84+'[1]Policy Test Cases'!$H$85+'[1]Policy Test Cases'!$H$86+'[1]Policy Test Cases'!$H$87+'[1]Policy Test Cases'!$H$89)/'[1]Policy Test Cases'!$H$55)*('[1]SOV 4'!K15+'[1]SOV 4'!L15+'[1]SOV 4'!M15))</f>
        <v>2197.3932471768885</v>
      </c>
      <c r="AX15" s="20">
        <f>(('[1]Policy Test Cases'!$H$88/'[1]Policy Test Cases'!$H$55)*('[1]SOV 4'!K15+'[1]SOV 4'!L15+'[1]SOV 4'!M15))</f>
        <v>2953.6471054645467</v>
      </c>
      <c r="AY15" s="20">
        <f t="shared" si="0"/>
        <v>5151.0403526414357</v>
      </c>
    </row>
    <row r="16" spans="1:51" x14ac:dyDescent="0.45">
      <c r="A16" s="13" t="s">
        <v>119</v>
      </c>
      <c r="B16" s="13">
        <v>15</v>
      </c>
      <c r="C16" s="14" t="s">
        <v>120</v>
      </c>
      <c r="E16" s="15" t="s">
        <v>116</v>
      </c>
      <c r="F16" s="15" t="s">
        <v>108</v>
      </c>
      <c r="G16" s="16">
        <v>14626</v>
      </c>
      <c r="K16" s="17">
        <v>9527500</v>
      </c>
      <c r="L16" s="17">
        <v>4708000</v>
      </c>
      <c r="M16" s="17">
        <v>572000</v>
      </c>
      <c r="N16" s="18">
        <v>36892</v>
      </c>
      <c r="O16" s="13">
        <v>2</v>
      </c>
      <c r="P16" s="19">
        <v>56000</v>
      </c>
      <c r="Q16" s="13">
        <v>1</v>
      </c>
      <c r="R16" s="13" t="s">
        <v>117</v>
      </c>
      <c r="T16" s="13" t="s">
        <v>87</v>
      </c>
      <c r="U16" s="13" t="s">
        <v>118</v>
      </c>
      <c r="V16" s="13" t="s">
        <v>58</v>
      </c>
      <c r="W16" s="13" t="s">
        <v>59</v>
      </c>
      <c r="X16" s="13" t="s">
        <v>56</v>
      </c>
      <c r="Y16" s="13" t="s">
        <v>56</v>
      </c>
      <c r="Z16" s="13" t="s">
        <v>61</v>
      </c>
      <c r="AA16" s="13" t="s">
        <v>112</v>
      </c>
      <c r="AB16" s="13" t="s">
        <v>56</v>
      </c>
      <c r="AC16" s="13" t="s">
        <v>121</v>
      </c>
      <c r="AD16" s="18">
        <v>36892</v>
      </c>
      <c r="AE16" s="13" t="s">
        <v>56</v>
      </c>
      <c r="AF16" s="18">
        <v>36892</v>
      </c>
      <c r="AG16" s="13" t="s">
        <v>64</v>
      </c>
      <c r="AH16" s="13" t="s">
        <v>113</v>
      </c>
      <c r="AI16" s="13" t="s">
        <v>64</v>
      </c>
      <c r="AJ16" s="13" t="s">
        <v>56</v>
      </c>
      <c r="AK16" s="13" t="s">
        <v>56</v>
      </c>
      <c r="AN16" s="13">
        <v>2</v>
      </c>
      <c r="AS16" s="13" t="s">
        <v>66</v>
      </c>
      <c r="AT16" s="13" t="s">
        <v>67</v>
      </c>
      <c r="AU16" s="13" t="s">
        <v>68</v>
      </c>
      <c r="AV16" s="13" t="s">
        <v>69</v>
      </c>
      <c r="AW16" s="20">
        <f>SUM((('[1]Policy Test Cases'!$H$83+'[1]Policy Test Cases'!$H$84+'[1]Policy Test Cases'!$H$85+'[1]Policy Test Cases'!$H$86+'[1]Policy Test Cases'!$H$87+'[1]Policy Test Cases'!$H$89)/'[1]Policy Test Cases'!$H$55)*('[1]SOV 4'!K16+'[1]SOV 4'!L16+'[1]SOV 4'!M16))</f>
        <v>26233.895434630151</v>
      </c>
      <c r="AX16" s="20">
        <f>(('[1]Policy Test Cases'!$H$88/'[1]Policy Test Cases'!$H$55)*('[1]SOV 4'!K16+'[1]SOV 4'!L16+'[1]SOV 4'!M16))</f>
        <v>35262.540928941606</v>
      </c>
      <c r="AY16" s="20">
        <f t="shared" si="0"/>
        <v>61496.43636357176</v>
      </c>
    </row>
    <row r="17" spans="1:51" x14ac:dyDescent="0.45">
      <c r="A17" s="13" t="s">
        <v>122</v>
      </c>
      <c r="B17" s="13">
        <v>16</v>
      </c>
      <c r="C17" s="14" t="s">
        <v>123</v>
      </c>
      <c r="E17" s="15" t="s">
        <v>124</v>
      </c>
      <c r="F17" s="15" t="s">
        <v>108</v>
      </c>
      <c r="G17" s="16">
        <v>13204</v>
      </c>
      <c r="K17" s="17">
        <v>1854000</v>
      </c>
      <c r="L17" s="17">
        <v>278000</v>
      </c>
      <c r="M17" s="17">
        <v>25000</v>
      </c>
      <c r="N17" s="18">
        <v>31413</v>
      </c>
      <c r="O17" s="13">
        <v>1</v>
      </c>
      <c r="P17" s="19">
        <v>9346</v>
      </c>
      <c r="Q17" s="13">
        <v>1</v>
      </c>
      <c r="R17" s="13" t="s">
        <v>117</v>
      </c>
      <c r="T17" s="13" t="s">
        <v>87</v>
      </c>
      <c r="U17" s="13" t="s">
        <v>118</v>
      </c>
      <c r="V17" s="13" t="s">
        <v>58</v>
      </c>
      <c r="W17" s="13" t="s">
        <v>59</v>
      </c>
      <c r="X17" s="13" t="s">
        <v>56</v>
      </c>
      <c r="Y17" s="13" t="s">
        <v>56</v>
      </c>
      <c r="Z17" s="13" t="s">
        <v>61</v>
      </c>
      <c r="AA17" s="13" t="s">
        <v>112</v>
      </c>
      <c r="AB17" s="13" t="s">
        <v>56</v>
      </c>
      <c r="AC17" s="13" t="s">
        <v>121</v>
      </c>
      <c r="AD17" s="18">
        <v>31413</v>
      </c>
      <c r="AE17" s="13" t="s">
        <v>56</v>
      </c>
      <c r="AF17" s="18">
        <v>31413</v>
      </c>
      <c r="AG17" s="13" t="s">
        <v>64</v>
      </c>
      <c r="AH17" s="13" t="s">
        <v>113</v>
      </c>
      <c r="AI17" s="13" t="s">
        <v>64</v>
      </c>
      <c r="AJ17" s="13" t="s">
        <v>56</v>
      </c>
      <c r="AK17" s="13" t="s">
        <v>56</v>
      </c>
      <c r="AN17" s="13">
        <v>2</v>
      </c>
      <c r="AS17" s="13" t="s">
        <v>66</v>
      </c>
      <c r="AT17" s="13" t="s">
        <v>67</v>
      </c>
      <c r="AU17" s="13" t="s">
        <v>68</v>
      </c>
      <c r="AV17" s="13" t="s">
        <v>69</v>
      </c>
      <c r="AW17" s="20">
        <f>SUM((('[1]Policy Test Cases'!$H$83+'[1]Policy Test Cases'!$H$84+'[1]Policy Test Cases'!$H$85+'[1]Policy Test Cases'!$H$86+'[1]Policy Test Cases'!$H$87+'[1]Policy Test Cases'!$H$89)/'[1]Policy Test Cases'!$H$55)*('[1]SOV 4'!K17+'[1]SOV 4'!L17+'[1]SOV 4'!M17))</f>
        <v>3821.4764445380538</v>
      </c>
      <c r="AX17" s="20">
        <f>(('[1]Policy Test Cases'!$H$88/'[1]Policy Test Cases'!$H$55)*('[1]SOV 4'!K17+'[1]SOV 4'!L17+'[1]SOV 4'!M17))</f>
        <v>5136.6740357067056</v>
      </c>
      <c r="AY17" s="20">
        <f t="shared" si="0"/>
        <v>8958.1504802447598</v>
      </c>
    </row>
    <row r="18" spans="1:51" x14ac:dyDescent="0.45">
      <c r="A18" s="13" t="s">
        <v>125</v>
      </c>
      <c r="B18" s="13">
        <v>17</v>
      </c>
      <c r="C18" s="14" t="s">
        <v>123</v>
      </c>
      <c r="E18" s="15" t="s">
        <v>124</v>
      </c>
      <c r="F18" s="15" t="s">
        <v>108</v>
      </c>
      <c r="G18" s="16">
        <v>13204</v>
      </c>
      <c r="K18" s="17">
        <v>0</v>
      </c>
      <c r="L18" s="17">
        <v>108000</v>
      </c>
      <c r="M18" s="17">
        <v>25000</v>
      </c>
      <c r="N18" s="18">
        <v>31413</v>
      </c>
      <c r="O18" s="13">
        <v>1</v>
      </c>
      <c r="P18" s="19">
        <v>4500</v>
      </c>
      <c r="Q18" s="13">
        <v>1</v>
      </c>
      <c r="R18" s="13" t="s">
        <v>117</v>
      </c>
      <c r="T18" s="13" t="s">
        <v>87</v>
      </c>
      <c r="U18" s="13" t="s">
        <v>74</v>
      </c>
      <c r="V18" s="13" t="s">
        <v>58</v>
      </c>
      <c r="W18" s="13" t="s">
        <v>59</v>
      </c>
      <c r="X18" s="13" t="s">
        <v>56</v>
      </c>
      <c r="Y18" s="13" t="s">
        <v>56</v>
      </c>
      <c r="Z18" s="13" t="s">
        <v>126</v>
      </c>
      <c r="AA18" s="13" t="s">
        <v>112</v>
      </c>
      <c r="AB18" s="13" t="s">
        <v>56</v>
      </c>
      <c r="AC18" s="13" t="s">
        <v>63</v>
      </c>
      <c r="AD18" s="18">
        <v>31413</v>
      </c>
      <c r="AE18" s="13" t="s">
        <v>56</v>
      </c>
      <c r="AF18" s="18">
        <v>31413</v>
      </c>
      <c r="AG18" s="13" t="s">
        <v>64</v>
      </c>
      <c r="AH18" s="13" t="s">
        <v>113</v>
      </c>
      <c r="AI18" s="13" t="s">
        <v>64</v>
      </c>
      <c r="AJ18" s="13" t="s">
        <v>56</v>
      </c>
      <c r="AK18" s="13" t="s">
        <v>56</v>
      </c>
      <c r="AN18" s="13">
        <v>2</v>
      </c>
      <c r="AS18" s="13" t="s">
        <v>66</v>
      </c>
      <c r="AT18" s="13" t="s">
        <v>67</v>
      </c>
      <c r="AU18" s="13" t="s">
        <v>68</v>
      </c>
      <c r="AV18" s="13" t="s">
        <v>69</v>
      </c>
      <c r="AW18" s="20">
        <f>SUM((('[1]Policy Test Cases'!$H$83+'[1]Policy Test Cases'!$H$84+'[1]Policy Test Cases'!$H$85+'[1]Policy Test Cases'!$H$86+'[1]Policy Test Cases'!$H$87+'[1]Policy Test Cases'!$H$89)/'[1]Policy Test Cases'!$H$55)*('[1]SOV 4'!K18+'[1]SOV 4'!L18+'[1]SOV 4'!M18))</f>
        <v>235.63113913934222</v>
      </c>
      <c r="AX18" s="20">
        <f>(('[1]Policy Test Cases'!$H$88/'[1]Policy Test Cases'!$H$55)*('[1]SOV 4'!K18+'[1]SOV 4'!L18+'[1]SOV 4'!M18))</f>
        <v>316.72584457533236</v>
      </c>
      <c r="AY18" s="20">
        <f t="shared" si="0"/>
        <v>552.35698371467458</v>
      </c>
    </row>
    <row r="19" spans="1:51" x14ac:dyDescent="0.45">
      <c r="A19" s="13" t="s">
        <v>127</v>
      </c>
      <c r="B19" s="13">
        <v>18</v>
      </c>
      <c r="C19" s="14" t="s">
        <v>128</v>
      </c>
      <c r="E19" s="15" t="s">
        <v>129</v>
      </c>
      <c r="F19" s="15" t="s">
        <v>108</v>
      </c>
      <c r="G19" s="15">
        <v>12305</v>
      </c>
      <c r="K19" s="17">
        <v>579000</v>
      </c>
      <c r="L19" s="17">
        <v>278000</v>
      </c>
      <c r="M19" s="17">
        <v>25000</v>
      </c>
      <c r="N19" s="18">
        <v>43101</v>
      </c>
      <c r="O19" s="13">
        <v>3</v>
      </c>
      <c r="P19" s="19">
        <v>8290</v>
      </c>
      <c r="Q19" s="13">
        <v>1</v>
      </c>
      <c r="R19" s="13" t="s">
        <v>55</v>
      </c>
      <c r="T19" s="13" t="s">
        <v>87</v>
      </c>
      <c r="U19" s="13" t="s">
        <v>57</v>
      </c>
      <c r="V19" s="13" t="s">
        <v>58</v>
      </c>
      <c r="W19" s="13" t="s">
        <v>59</v>
      </c>
      <c r="X19" s="13" t="s">
        <v>56</v>
      </c>
      <c r="Y19" s="13" t="s">
        <v>56</v>
      </c>
      <c r="Z19" s="13" t="s">
        <v>126</v>
      </c>
      <c r="AA19" s="13" t="s">
        <v>112</v>
      </c>
      <c r="AB19" s="13" t="s">
        <v>56</v>
      </c>
      <c r="AC19" s="13" t="s">
        <v>121</v>
      </c>
      <c r="AD19" s="18">
        <v>43101</v>
      </c>
      <c r="AE19" s="13" t="s">
        <v>56</v>
      </c>
      <c r="AF19" s="18">
        <v>43101</v>
      </c>
      <c r="AG19" s="13" t="s">
        <v>64</v>
      </c>
      <c r="AH19" s="13" t="s">
        <v>113</v>
      </c>
      <c r="AI19" s="13" t="s">
        <v>64</v>
      </c>
      <c r="AJ19" s="13" t="s">
        <v>56</v>
      </c>
      <c r="AK19" s="13" t="s">
        <v>56</v>
      </c>
      <c r="AN19" s="13">
        <v>2</v>
      </c>
      <c r="AS19" s="13" t="s">
        <v>130</v>
      </c>
      <c r="AT19" s="13" t="s">
        <v>67</v>
      </c>
      <c r="AU19" s="13" t="s">
        <v>68</v>
      </c>
      <c r="AV19" s="13" t="s">
        <v>69</v>
      </c>
      <c r="AW19" s="20">
        <f>SUM((('[1]Policy Test Cases'!$H$83+'[1]Policy Test Cases'!$H$84+'[1]Policy Test Cases'!$H$85+'[1]Policy Test Cases'!$H$86+'[1]Policy Test Cases'!$H$87+'[1]Policy Test Cases'!$H$89)/'[1]Policy Test Cases'!$H$55)*('[1]SOV 4'!K19+'[1]SOV 4'!L19+'[1]SOV 4'!M19))</f>
        <v>1562.6065016609011</v>
      </c>
      <c r="AX19" s="20">
        <f>(('[1]Policy Test Cases'!$H$88/'[1]Policy Test Cases'!$H$55)*('[1]SOV 4'!K19+'[1]SOV 4'!L19+'[1]SOV 4'!M19))</f>
        <v>2100.3924429732565</v>
      </c>
      <c r="AY19" s="20">
        <f t="shared" si="0"/>
        <v>3662.9989446341579</v>
      </c>
    </row>
    <row r="20" spans="1:51" x14ac:dyDescent="0.45">
      <c r="A20" s="13" t="s">
        <v>131</v>
      </c>
      <c r="B20" s="13">
        <v>19</v>
      </c>
      <c r="C20" s="14" t="s">
        <v>132</v>
      </c>
      <c r="E20" s="15" t="s">
        <v>129</v>
      </c>
      <c r="F20" s="15" t="s">
        <v>108</v>
      </c>
      <c r="G20" s="15">
        <v>12305</v>
      </c>
      <c r="K20" s="17">
        <v>0</v>
      </c>
      <c r="L20" s="17">
        <v>108000</v>
      </c>
      <c r="M20" s="17">
        <v>25000</v>
      </c>
      <c r="N20" s="18">
        <v>32874</v>
      </c>
      <c r="O20" s="13">
        <v>1</v>
      </c>
      <c r="P20" s="19">
        <v>12500</v>
      </c>
      <c r="Q20" s="13">
        <v>1</v>
      </c>
      <c r="R20" s="13" t="s">
        <v>55</v>
      </c>
      <c r="T20" s="13" t="s">
        <v>87</v>
      </c>
      <c r="U20" s="13" t="s">
        <v>74</v>
      </c>
      <c r="V20" s="13" t="s">
        <v>58</v>
      </c>
      <c r="W20" s="13" t="s">
        <v>59</v>
      </c>
      <c r="X20" s="13" t="s">
        <v>56</v>
      </c>
      <c r="Y20" s="13" t="s">
        <v>56</v>
      </c>
      <c r="Z20" s="13" t="s">
        <v>61</v>
      </c>
      <c r="AA20" s="13" t="s">
        <v>112</v>
      </c>
      <c r="AB20" s="13" t="s">
        <v>56</v>
      </c>
      <c r="AC20" s="13" t="s">
        <v>63</v>
      </c>
      <c r="AD20" s="18">
        <v>32874</v>
      </c>
      <c r="AE20" s="13" t="s">
        <v>56</v>
      </c>
      <c r="AF20" s="18">
        <v>32874</v>
      </c>
      <c r="AG20" s="13" t="s">
        <v>64</v>
      </c>
      <c r="AH20" s="13" t="s">
        <v>113</v>
      </c>
      <c r="AI20" s="13" t="s">
        <v>64</v>
      </c>
      <c r="AJ20" s="13" t="s">
        <v>56</v>
      </c>
      <c r="AK20" s="13" t="s">
        <v>56</v>
      </c>
      <c r="AN20" s="13">
        <v>4</v>
      </c>
      <c r="AS20" s="13" t="s">
        <v>66</v>
      </c>
      <c r="AT20" s="13" t="s">
        <v>67</v>
      </c>
      <c r="AU20" s="13" t="s">
        <v>68</v>
      </c>
      <c r="AV20" s="13" t="s">
        <v>69</v>
      </c>
      <c r="AW20" s="20">
        <f>SUM((('[1]Policy Test Cases'!$H$83+'[1]Policy Test Cases'!$H$84+'[1]Policy Test Cases'!$H$85+'[1]Policy Test Cases'!$H$86+'[1]Policy Test Cases'!$H$87+'[1]Policy Test Cases'!$H$89)/'[1]Policy Test Cases'!$H$55)*('[1]SOV 4'!K20+'[1]SOV 4'!L20+'[1]SOV 4'!M20))</f>
        <v>235.63113913934222</v>
      </c>
      <c r="AX20" s="20">
        <f>(('[1]Policy Test Cases'!$H$88/'[1]Policy Test Cases'!$H$55)*('[1]SOV 4'!K20+'[1]SOV 4'!L20+'[1]SOV 4'!M20))</f>
        <v>316.72584457533236</v>
      </c>
      <c r="AY20" s="20">
        <f t="shared" si="0"/>
        <v>552.35698371467458</v>
      </c>
    </row>
    <row r="21" spans="1:51" x14ac:dyDescent="0.45">
      <c r="A21" s="13" t="s">
        <v>133</v>
      </c>
      <c r="B21" s="13">
        <v>20</v>
      </c>
      <c r="C21" s="14" t="s">
        <v>134</v>
      </c>
      <c r="E21" s="15" t="s">
        <v>135</v>
      </c>
      <c r="F21" s="15" t="s">
        <v>108</v>
      </c>
      <c r="G21" s="15">
        <v>14830</v>
      </c>
      <c r="K21" s="17">
        <v>100000</v>
      </c>
      <c r="L21" s="17">
        <v>233000</v>
      </c>
      <c r="M21" s="17">
        <v>25000</v>
      </c>
      <c r="N21" s="18">
        <v>25569</v>
      </c>
      <c r="O21" s="13">
        <v>1</v>
      </c>
      <c r="P21" s="19">
        <v>4462</v>
      </c>
      <c r="Q21" s="13">
        <v>1</v>
      </c>
      <c r="R21" s="13" t="s">
        <v>55</v>
      </c>
      <c r="T21" s="13" t="s">
        <v>87</v>
      </c>
      <c r="U21" s="13" t="s">
        <v>57</v>
      </c>
      <c r="V21" s="13" t="s">
        <v>58</v>
      </c>
      <c r="W21" s="13" t="s">
        <v>59</v>
      </c>
      <c r="X21" s="13" t="s">
        <v>56</v>
      </c>
      <c r="Y21" s="13" t="s">
        <v>56</v>
      </c>
      <c r="Z21" s="13" t="s">
        <v>61</v>
      </c>
      <c r="AA21" s="13" t="s">
        <v>112</v>
      </c>
      <c r="AB21" s="13" t="s">
        <v>56</v>
      </c>
      <c r="AC21" s="13" t="s">
        <v>63</v>
      </c>
      <c r="AD21" s="18">
        <v>25569</v>
      </c>
      <c r="AE21" s="13" t="s">
        <v>56</v>
      </c>
      <c r="AF21" s="18">
        <v>25569</v>
      </c>
      <c r="AG21" s="13" t="s">
        <v>64</v>
      </c>
      <c r="AH21" s="13" t="s">
        <v>113</v>
      </c>
      <c r="AI21" s="13" t="s">
        <v>64</v>
      </c>
      <c r="AJ21" s="13" t="s">
        <v>56</v>
      </c>
      <c r="AK21" s="13" t="s">
        <v>56</v>
      </c>
      <c r="AN21" s="13">
        <v>4</v>
      </c>
      <c r="AS21" s="13" t="s">
        <v>136</v>
      </c>
      <c r="AT21" s="13" t="s">
        <v>67</v>
      </c>
      <c r="AU21" s="13" t="s">
        <v>68</v>
      </c>
      <c r="AV21" s="13" t="s">
        <v>69</v>
      </c>
      <c r="AW21" s="20">
        <f>SUM((('[1]Policy Test Cases'!$H$83+'[1]Policy Test Cases'!$H$84+'[1]Policy Test Cases'!$H$85+'[1]Policy Test Cases'!$H$86+'[1]Policy Test Cases'!$H$87+'[1]Policy Test Cases'!$H$89)/'[1]Policy Test Cases'!$H$55)*('[1]SOV 4'!K21+'[1]SOV 4'!L21+'[1]SOV 4'!M21))</f>
        <v>634.25524670589857</v>
      </c>
      <c r="AX21" s="20">
        <f>(('[1]Policy Test Cases'!$H$88/'[1]Policy Test Cases'!$H$55)*('[1]SOV 4'!K21+'[1]SOV 4'!L21+'[1]SOV 4'!M21))</f>
        <v>852.54024329299989</v>
      </c>
      <c r="AY21" s="20">
        <f t="shared" si="0"/>
        <v>1486.7954899988986</v>
      </c>
    </row>
    <row r="22" spans="1:51" x14ac:dyDescent="0.45">
      <c r="A22" s="13" t="s">
        <v>137</v>
      </c>
      <c r="B22" s="13">
        <v>21</v>
      </c>
      <c r="C22" s="14" t="s">
        <v>134</v>
      </c>
      <c r="E22" s="15" t="s">
        <v>135</v>
      </c>
      <c r="F22" s="15" t="s">
        <v>108</v>
      </c>
      <c r="G22" s="15">
        <v>14830</v>
      </c>
      <c r="K22" s="17">
        <v>30000</v>
      </c>
      <c r="L22" s="17">
        <v>108000</v>
      </c>
      <c r="M22" s="17">
        <v>25000</v>
      </c>
      <c r="N22" s="18"/>
      <c r="O22" s="13">
        <v>2</v>
      </c>
      <c r="P22" s="19">
        <v>2049</v>
      </c>
      <c r="Q22" s="13">
        <v>1</v>
      </c>
      <c r="R22" s="13" t="s">
        <v>104</v>
      </c>
      <c r="T22" s="13" t="s">
        <v>87</v>
      </c>
      <c r="U22" s="13" t="s">
        <v>57</v>
      </c>
      <c r="V22" s="13" t="s">
        <v>58</v>
      </c>
      <c r="W22" s="13" t="s">
        <v>59</v>
      </c>
      <c r="X22" s="13" t="s">
        <v>56</v>
      </c>
      <c r="Y22" s="13" t="s">
        <v>56</v>
      </c>
      <c r="Z22" s="13" t="s">
        <v>61</v>
      </c>
      <c r="AA22" s="13" t="s">
        <v>112</v>
      </c>
      <c r="AB22" s="13" t="s">
        <v>56</v>
      </c>
      <c r="AC22" s="13" t="s">
        <v>63</v>
      </c>
      <c r="AD22" s="18"/>
      <c r="AE22" s="13" t="s">
        <v>56</v>
      </c>
      <c r="AF22" s="18"/>
      <c r="AG22" s="13" t="s">
        <v>64</v>
      </c>
      <c r="AH22" s="13" t="s">
        <v>113</v>
      </c>
      <c r="AI22" s="13" t="s">
        <v>64</v>
      </c>
      <c r="AJ22" s="13" t="s">
        <v>56</v>
      </c>
      <c r="AK22" s="13" t="s">
        <v>56</v>
      </c>
      <c r="AN22" s="13">
        <v>4</v>
      </c>
      <c r="AS22" s="13" t="s">
        <v>136</v>
      </c>
      <c r="AT22" s="13" t="s">
        <v>67</v>
      </c>
      <c r="AU22" s="13" t="s">
        <v>68</v>
      </c>
      <c r="AV22" s="13" t="s">
        <v>69</v>
      </c>
      <c r="AW22" s="20">
        <f>SUM((('[1]Policy Test Cases'!$H$83+'[1]Policy Test Cases'!$H$84+'[1]Policy Test Cases'!$H$85+'[1]Policy Test Cases'!$H$86+'[1]Policy Test Cases'!$H$87+'[1]Policy Test Cases'!$H$89)/'[1]Policy Test Cases'!$H$55)*('[1]SOV 4'!K22+'[1]SOV 4'!L22+'[1]SOV 4'!M22))</f>
        <v>288.78102014821638</v>
      </c>
      <c r="AX22" s="20">
        <f>(('[1]Policy Test Cases'!$H$88/'[1]Policy Test Cases'!$H$55)*('[1]SOV 4'!K22+'[1]SOV 4'!L22+'[1]SOV 4'!M22))</f>
        <v>388.16776440435467</v>
      </c>
      <c r="AY22" s="20">
        <f t="shared" si="0"/>
        <v>676.94878455257106</v>
      </c>
    </row>
    <row r="23" spans="1:51" x14ac:dyDescent="0.45">
      <c r="A23" s="13" t="s">
        <v>138</v>
      </c>
      <c r="B23" s="13">
        <v>22</v>
      </c>
      <c r="C23" s="14" t="s">
        <v>139</v>
      </c>
      <c r="E23" s="15" t="s">
        <v>140</v>
      </c>
      <c r="F23" s="15" t="s">
        <v>108</v>
      </c>
      <c r="G23" s="15">
        <v>10504</v>
      </c>
      <c r="K23" s="17">
        <v>0</v>
      </c>
      <c r="L23" s="17">
        <v>293000</v>
      </c>
      <c r="M23" s="17">
        <v>25000</v>
      </c>
      <c r="N23" s="18"/>
      <c r="O23" s="13">
        <v>0</v>
      </c>
      <c r="P23" s="19">
        <v>19890</v>
      </c>
      <c r="Q23" s="13">
        <v>1</v>
      </c>
      <c r="R23" s="13" t="s">
        <v>117</v>
      </c>
      <c r="T23" s="13" t="s">
        <v>87</v>
      </c>
      <c r="U23" s="13" t="s">
        <v>74</v>
      </c>
      <c r="V23" s="13" t="s">
        <v>58</v>
      </c>
      <c r="W23" s="13" t="s">
        <v>59</v>
      </c>
      <c r="X23" s="13" t="s">
        <v>56</v>
      </c>
      <c r="Y23" s="13" t="s">
        <v>56</v>
      </c>
      <c r="Z23" s="13" t="s">
        <v>61</v>
      </c>
      <c r="AA23" s="13" t="s">
        <v>112</v>
      </c>
      <c r="AB23" s="13" t="s">
        <v>56</v>
      </c>
      <c r="AC23" s="13" t="s">
        <v>63</v>
      </c>
      <c r="AD23" s="18"/>
      <c r="AE23" s="13" t="s">
        <v>56</v>
      </c>
      <c r="AF23" s="18"/>
      <c r="AG23" s="13" t="s">
        <v>64</v>
      </c>
      <c r="AH23" s="13" t="s">
        <v>113</v>
      </c>
      <c r="AI23" s="13" t="s">
        <v>64</v>
      </c>
      <c r="AJ23" s="13" t="s">
        <v>56</v>
      </c>
      <c r="AK23" s="13" t="s">
        <v>56</v>
      </c>
      <c r="AN23" s="13">
        <v>4</v>
      </c>
      <c r="AS23" s="13" t="s">
        <v>66</v>
      </c>
      <c r="AT23" s="13" t="s">
        <v>67</v>
      </c>
      <c r="AU23" s="13" t="s">
        <v>68</v>
      </c>
      <c r="AV23" s="13" t="s">
        <v>69</v>
      </c>
      <c r="AW23" s="20">
        <f>SUM((('[1]Policy Test Cases'!$H$83+'[1]Policy Test Cases'!$H$84+'[1]Policy Test Cases'!$H$85+'[1]Policy Test Cases'!$H$86+'[1]Policy Test Cases'!$H$87+'[1]Policy Test Cases'!$H$89)/'[1]Policy Test Cases'!$H$55)*('[1]SOV 4'!K23+'[1]SOV 4'!L23+'[1]SOV 4'!M23))</f>
        <v>563.38873869406632</v>
      </c>
      <c r="AX23" s="20">
        <f>(('[1]Policy Test Cases'!$H$88/'[1]Policy Test Cases'!$H$55)*('[1]SOV 4'!K23+'[1]SOV 4'!L23+'[1]SOV 4'!M23))</f>
        <v>757.28435018763673</v>
      </c>
      <c r="AY23" s="20">
        <f t="shared" si="0"/>
        <v>1320.6730888817031</v>
      </c>
    </row>
    <row r="24" spans="1:51" x14ac:dyDescent="0.45">
      <c r="A24" s="13" t="s">
        <v>141</v>
      </c>
      <c r="B24" s="13">
        <v>23</v>
      </c>
      <c r="C24" s="14" t="s">
        <v>139</v>
      </c>
      <c r="E24" s="15" t="s">
        <v>140</v>
      </c>
      <c r="F24" s="15" t="s">
        <v>108</v>
      </c>
      <c r="G24" s="15">
        <v>10504</v>
      </c>
      <c r="K24" s="17">
        <v>0</v>
      </c>
      <c r="L24" s="17">
        <v>108000</v>
      </c>
      <c r="M24" s="17">
        <v>25000</v>
      </c>
      <c r="N24" s="18"/>
      <c r="O24" s="13">
        <v>0</v>
      </c>
      <c r="P24" s="19">
        <v>8500</v>
      </c>
      <c r="Q24" s="13">
        <v>1</v>
      </c>
      <c r="R24" s="13" t="s">
        <v>56</v>
      </c>
      <c r="T24" s="13" t="s">
        <v>87</v>
      </c>
      <c r="U24" s="13" t="s">
        <v>74</v>
      </c>
      <c r="V24" s="13" t="s">
        <v>58</v>
      </c>
      <c r="W24" s="13" t="s">
        <v>59</v>
      </c>
      <c r="X24" s="13" t="s">
        <v>56</v>
      </c>
      <c r="Y24" s="13" t="s">
        <v>56</v>
      </c>
      <c r="Z24" s="13" t="s">
        <v>61</v>
      </c>
      <c r="AA24" s="13" t="s">
        <v>112</v>
      </c>
      <c r="AB24" s="13" t="s">
        <v>56</v>
      </c>
      <c r="AC24" s="13" t="s">
        <v>63</v>
      </c>
      <c r="AD24" s="18"/>
      <c r="AE24" s="13" t="s">
        <v>56</v>
      </c>
      <c r="AF24" s="18"/>
      <c r="AG24" s="13" t="s">
        <v>64</v>
      </c>
      <c r="AH24" s="13" t="s">
        <v>113</v>
      </c>
      <c r="AI24" s="13" t="s">
        <v>64</v>
      </c>
      <c r="AJ24" s="13" t="s">
        <v>56</v>
      </c>
      <c r="AK24" s="13" t="s">
        <v>56</v>
      </c>
      <c r="AN24" s="13">
        <v>4</v>
      </c>
      <c r="AS24" s="13" t="s">
        <v>66</v>
      </c>
      <c r="AT24" s="13" t="s">
        <v>67</v>
      </c>
      <c r="AU24" s="13" t="s">
        <v>68</v>
      </c>
      <c r="AV24" s="13" t="s">
        <v>69</v>
      </c>
      <c r="AW24" s="20">
        <f>SUM((('[1]Policy Test Cases'!$H$83+'[1]Policy Test Cases'!$H$84+'[1]Policy Test Cases'!$H$85+'[1]Policy Test Cases'!$H$86+'[1]Policy Test Cases'!$H$87+'[1]Policy Test Cases'!$H$89)/'[1]Policy Test Cases'!$H$55)*('[1]SOV 4'!K24+'[1]SOV 4'!L24+'[1]SOV 4'!M24))</f>
        <v>235.63113913934222</v>
      </c>
      <c r="AX24" s="20">
        <f>(('[1]Policy Test Cases'!$H$88/'[1]Policy Test Cases'!$H$55)*('[1]SOV 4'!K24+'[1]SOV 4'!L24+'[1]SOV 4'!M24))</f>
        <v>316.72584457533236</v>
      </c>
      <c r="AY24" s="20">
        <f t="shared" si="0"/>
        <v>552.35698371467458</v>
      </c>
    </row>
    <row r="25" spans="1:51" x14ac:dyDescent="0.45">
      <c r="A25" s="13" t="s">
        <v>66</v>
      </c>
      <c r="B25" s="13">
        <v>24</v>
      </c>
      <c r="C25" s="14" t="s">
        <v>142</v>
      </c>
      <c r="E25" s="15" t="s">
        <v>143</v>
      </c>
      <c r="F25" s="15" t="s">
        <v>144</v>
      </c>
      <c r="G25" s="15">
        <v>85304</v>
      </c>
      <c r="K25" s="17">
        <v>0</v>
      </c>
      <c r="L25" s="17">
        <f>750000+1237699</f>
        <v>1987699</v>
      </c>
      <c r="M25" s="17">
        <v>609075</v>
      </c>
      <c r="N25" s="18">
        <v>31778</v>
      </c>
      <c r="O25" s="13">
        <v>1</v>
      </c>
      <c r="P25" s="19">
        <v>20826</v>
      </c>
      <c r="Q25" s="13">
        <v>1</v>
      </c>
      <c r="R25" s="13" t="s">
        <v>55</v>
      </c>
      <c r="T25" s="13" t="s">
        <v>145</v>
      </c>
      <c r="U25" s="13" t="s">
        <v>74</v>
      </c>
      <c r="V25" s="13" t="s">
        <v>58</v>
      </c>
      <c r="W25" s="13" t="s">
        <v>59</v>
      </c>
      <c r="X25" s="13" t="s">
        <v>56</v>
      </c>
      <c r="Y25" s="13" t="s">
        <v>56</v>
      </c>
      <c r="Z25" s="13" t="s">
        <v>61</v>
      </c>
      <c r="AA25" s="13" t="s">
        <v>112</v>
      </c>
      <c r="AB25" s="13" t="s">
        <v>56</v>
      </c>
      <c r="AC25" s="13" t="s">
        <v>63</v>
      </c>
      <c r="AD25" s="18">
        <v>31778</v>
      </c>
      <c r="AE25" s="13" t="s">
        <v>56</v>
      </c>
      <c r="AF25" s="18">
        <v>31778</v>
      </c>
      <c r="AG25" s="13" t="s">
        <v>64</v>
      </c>
      <c r="AH25" s="13" t="s">
        <v>113</v>
      </c>
      <c r="AI25" s="13" t="s">
        <v>64</v>
      </c>
      <c r="AJ25" s="13" t="s">
        <v>56</v>
      </c>
      <c r="AK25" s="13" t="s">
        <v>56</v>
      </c>
      <c r="AN25" s="13">
        <v>4</v>
      </c>
      <c r="AS25" s="13" t="s">
        <v>136</v>
      </c>
      <c r="AT25" s="13" t="s">
        <v>67</v>
      </c>
      <c r="AU25" s="13" t="s">
        <v>68</v>
      </c>
      <c r="AV25" s="13" t="s">
        <v>69</v>
      </c>
      <c r="AW25" s="20">
        <f>SUM((('[1]Policy Test Cases'!$H$83+'[1]Policy Test Cases'!$H$84+'[1]Policy Test Cases'!$H$85+'[1]Policy Test Cases'!$H$86+'[1]Policy Test Cases'!$H$87+'[1]Policy Test Cases'!$H$89)/'[1]Policy Test Cases'!$H$55)*('[1]SOV 4'!K25+'[1]SOV 4'!L25+'[1]SOV 4'!M25))</f>
        <v>4600.607636897942</v>
      </c>
      <c r="AX25" s="20">
        <f>(('[1]Policy Test Cases'!$H$88/'[1]Policy Test Cases'!$H$55)*('[1]SOV 4'!K25+'[1]SOV 4'!L25+'[1]SOV 4'!M25))</f>
        <v>6183.9506640696545</v>
      </c>
      <c r="AY25" s="20">
        <f t="shared" si="0"/>
        <v>10784.558300967597</v>
      </c>
    </row>
    <row r="26" spans="1:51" x14ac:dyDescent="0.45">
      <c r="C26" s="14"/>
      <c r="E26" s="15"/>
      <c r="F26" s="15"/>
      <c r="G26" s="16"/>
      <c r="K26" s="17"/>
      <c r="M26" s="17"/>
      <c r="N26" s="15"/>
      <c r="P26" s="19"/>
      <c r="AD26" s="15"/>
      <c r="AF26" s="15"/>
      <c r="AW26" s="20"/>
      <c r="AX26" s="20"/>
      <c r="AY2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2667-E817-4975-9824-5CFEE4C86A2B}">
  <dimension ref="A1:B53"/>
  <sheetViews>
    <sheetView topLeftCell="A13" workbookViewId="0">
      <selection activeCell="D7" sqref="D7"/>
    </sheetView>
  </sheetViews>
  <sheetFormatPr defaultRowHeight="14.25" x14ac:dyDescent="0.45"/>
  <cols>
    <col min="1" max="1" width="5.73046875" style="25" customWidth="1"/>
    <col min="2" max="2" width="21.59765625" style="25" customWidth="1"/>
  </cols>
  <sheetData>
    <row r="1" spans="1:2" x14ac:dyDescent="0.45">
      <c r="A1" s="22" t="s">
        <v>5</v>
      </c>
      <c r="B1" s="22" t="s">
        <v>50</v>
      </c>
    </row>
    <row r="2" spans="1:2" x14ac:dyDescent="0.45">
      <c r="A2" s="23" t="s">
        <v>146</v>
      </c>
      <c r="B2" s="24">
        <f>SUMIF('Model SOV'!F$2:F$1048576,'State Premiums'!A2,'Model SOV'!AY$2:AY$1048576)</f>
        <v>0</v>
      </c>
    </row>
    <row r="3" spans="1:2" x14ac:dyDescent="0.45">
      <c r="A3" s="23" t="s">
        <v>147</v>
      </c>
      <c r="B3" s="24">
        <f>SUMIF('Model SOV'!F$2:F$1048576,'State Premiums'!A3,'Model SOV'!AY$2:AY$1048576)</f>
        <v>0</v>
      </c>
    </row>
    <row r="4" spans="1:2" x14ac:dyDescent="0.45">
      <c r="A4" s="23" t="s">
        <v>148</v>
      </c>
      <c r="B4" s="24">
        <f>SUMIF('Model SOV'!F$2:F$1048576,'State Premiums'!A4,'Model SOV'!AY$2:AY$1048576)</f>
        <v>0</v>
      </c>
    </row>
    <row r="5" spans="1:2" x14ac:dyDescent="0.45">
      <c r="A5" s="23" t="s">
        <v>144</v>
      </c>
      <c r="B5" s="24">
        <f>SUMIF('Model SOV'!F$2:F$1048576,'State Premiums'!A5,'Model SOV'!AY$2:AY$1048576)</f>
        <v>10784.558300967597</v>
      </c>
    </row>
    <row r="6" spans="1:2" x14ac:dyDescent="0.45">
      <c r="A6" s="23" t="s">
        <v>54</v>
      </c>
      <c r="B6" s="24">
        <f>SUMIF('Model SOV'!F$2:F$1048576,'State Premiums'!A6,'Model SOV'!AY$2:AY$1048576)</f>
        <v>104046.48828792655</v>
      </c>
    </row>
    <row r="7" spans="1:2" x14ac:dyDescent="0.45">
      <c r="A7" s="23" t="s">
        <v>149</v>
      </c>
      <c r="B7" s="24">
        <f>SUMIF('Model SOV'!F$2:F$1048576,'State Premiums'!A7,'Model SOV'!AY$2:AY$1048576)</f>
        <v>0</v>
      </c>
    </row>
    <row r="8" spans="1:2" x14ac:dyDescent="0.45">
      <c r="A8" s="23" t="s">
        <v>150</v>
      </c>
      <c r="B8" s="24">
        <f>SUMIF('Model SOV'!F$2:F$1048576,'State Premiums'!A8,'Model SOV'!AY$2:AY$1048576)</f>
        <v>0</v>
      </c>
    </row>
    <row r="9" spans="1:2" x14ac:dyDescent="0.45">
      <c r="A9" s="23" t="s">
        <v>151</v>
      </c>
      <c r="B9" s="24">
        <f>SUMIF('Model SOV'!F$2:F$1048576,'State Premiums'!A9,'Model SOV'!AY$2:AY$1048576)</f>
        <v>0</v>
      </c>
    </row>
    <row r="10" spans="1:2" x14ac:dyDescent="0.45">
      <c r="A10" s="23" t="s">
        <v>152</v>
      </c>
      <c r="B10" s="24">
        <f>SUMIF('Model SOV'!F$2:F$1048576,'State Premiums'!A10,'Model SOV'!AY$2:AY$1048576)</f>
        <v>0</v>
      </c>
    </row>
    <row r="11" spans="1:2" x14ac:dyDescent="0.45">
      <c r="A11" s="23" t="s">
        <v>153</v>
      </c>
      <c r="B11" s="24">
        <f>SUMIF('Model SOV'!F$2:F$1048576,'State Premiums'!A11,'Model SOV'!AY$2:AY$1048576)</f>
        <v>0</v>
      </c>
    </row>
    <row r="12" spans="1:2" x14ac:dyDescent="0.45">
      <c r="A12" s="23" t="s">
        <v>154</v>
      </c>
      <c r="B12" s="24">
        <f>SUMIF('Model SOV'!F$2:F$1048576,'State Premiums'!A12,'Model SOV'!AY$2:AY$1048576)</f>
        <v>0</v>
      </c>
    </row>
    <row r="13" spans="1:2" x14ac:dyDescent="0.45">
      <c r="A13" s="23" t="s">
        <v>155</v>
      </c>
      <c r="B13" s="24">
        <f>SUMIF('Model SOV'!F$2:F$1048576,'State Premiums'!A13,'Model SOV'!AY$2:AY$1048576)</f>
        <v>0</v>
      </c>
    </row>
    <row r="14" spans="1:2" x14ac:dyDescent="0.45">
      <c r="A14" s="23" t="s">
        <v>156</v>
      </c>
      <c r="B14" s="24">
        <f>SUMIF('Model SOV'!F$2:F$1048576,'State Premiums'!A14,'Model SOV'!AY$2:AY$1048576)</f>
        <v>0</v>
      </c>
    </row>
    <row r="15" spans="1:2" x14ac:dyDescent="0.45">
      <c r="A15" s="23" t="s">
        <v>157</v>
      </c>
      <c r="B15" s="24">
        <f>SUMIF('Model SOV'!F$2:F$1048576,'State Premiums'!A15,'Model SOV'!AY$2:AY$1048576)</f>
        <v>0</v>
      </c>
    </row>
    <row r="16" spans="1:2" x14ac:dyDescent="0.45">
      <c r="A16" s="23" t="s">
        <v>158</v>
      </c>
      <c r="B16" s="24">
        <f>SUMIF('Model SOV'!F$2:F$1048576,'State Premiums'!A16,'Model SOV'!AY$2:AY$1048576)</f>
        <v>0</v>
      </c>
    </row>
    <row r="17" spans="1:2" x14ac:dyDescent="0.45">
      <c r="A17" s="23" t="s">
        <v>159</v>
      </c>
      <c r="B17" s="24">
        <f>SUMIF('Model SOV'!F$2:F$1048576,'State Premiums'!A17,'Model SOV'!AY$2:AY$1048576)</f>
        <v>0</v>
      </c>
    </row>
    <row r="18" spans="1:2" x14ac:dyDescent="0.45">
      <c r="A18" s="23" t="s">
        <v>160</v>
      </c>
      <c r="B18" s="24">
        <f>SUMIF('Model SOV'!F$2:F$1048576,'State Premiums'!A18,'Model SOV'!AY$2:AY$1048576)</f>
        <v>0</v>
      </c>
    </row>
    <row r="19" spans="1:2" x14ac:dyDescent="0.45">
      <c r="A19" s="23" t="s">
        <v>161</v>
      </c>
      <c r="B19" s="24">
        <f>SUMIF('Model SOV'!F$2:F$1048576,'State Premiums'!A19,'Model SOV'!AY$2:AY$1048576)</f>
        <v>0</v>
      </c>
    </row>
    <row r="20" spans="1:2" x14ac:dyDescent="0.45">
      <c r="A20" s="23" t="s">
        <v>162</v>
      </c>
      <c r="B20" s="24">
        <f>SUMIF('Model SOV'!F$2:F$1048576,'State Premiums'!A20,'Model SOV'!AY$2:AY$1048576)</f>
        <v>0</v>
      </c>
    </row>
    <row r="21" spans="1:2" x14ac:dyDescent="0.45">
      <c r="A21" s="23" t="s">
        <v>163</v>
      </c>
      <c r="B21" s="24">
        <f>SUMIF('Model SOV'!F$2:F$1048576,'State Premiums'!A21,'Model SOV'!AY$2:AY$1048576)</f>
        <v>0</v>
      </c>
    </row>
    <row r="22" spans="1:2" x14ac:dyDescent="0.45">
      <c r="A22" s="23" t="s">
        <v>86</v>
      </c>
      <c r="B22" s="24">
        <f>SUMIF('Model SOV'!F$2:F$1048576,'State Premiums'!A22,'Model SOV'!AY$2:AY$1048576)</f>
        <v>353.63306137822963</v>
      </c>
    </row>
    <row r="23" spans="1:2" x14ac:dyDescent="0.45">
      <c r="A23" s="23" t="s">
        <v>164</v>
      </c>
      <c r="B23" s="24">
        <f>SUMIF('Model SOV'!F$2:F$1048576,'State Premiums'!A23,'Model SOV'!AY$2:AY$1048576)</f>
        <v>0</v>
      </c>
    </row>
    <row r="24" spans="1:2" x14ac:dyDescent="0.45">
      <c r="A24" s="23" t="s">
        <v>165</v>
      </c>
      <c r="B24" s="24">
        <f>SUMIF('Model SOV'!F$2:F$1048576,'State Premiums'!A24,'Model SOV'!AY$2:AY$1048576)</f>
        <v>0</v>
      </c>
    </row>
    <row r="25" spans="1:2" x14ac:dyDescent="0.45">
      <c r="A25" s="23" t="s">
        <v>166</v>
      </c>
      <c r="B25" s="24">
        <f>SUMIF('Model SOV'!F$2:F$1048576,'State Premiums'!A25,'Model SOV'!AY$2:AY$1048576)</f>
        <v>0</v>
      </c>
    </row>
    <row r="26" spans="1:2" x14ac:dyDescent="0.45">
      <c r="A26" s="23" t="s">
        <v>167</v>
      </c>
      <c r="B26" s="24">
        <f>SUMIF('Model SOV'!F$2:F$1048576,'State Premiums'!A26,'Model SOV'!AY$2:AY$1048576)</f>
        <v>0</v>
      </c>
    </row>
    <row r="27" spans="1:2" x14ac:dyDescent="0.45">
      <c r="A27" s="23" t="s">
        <v>168</v>
      </c>
      <c r="B27" s="24">
        <f>SUMIF('Model SOV'!F$2:F$1048576,'State Premiums'!A27,'Model SOV'!AY$2:AY$1048576)</f>
        <v>0</v>
      </c>
    </row>
    <row r="28" spans="1:2" x14ac:dyDescent="0.45">
      <c r="A28" s="23" t="s">
        <v>169</v>
      </c>
      <c r="B28" s="24">
        <f>SUMIF('Model SOV'!F$2:F$1048576,'State Premiums'!A28,'Model SOV'!AY$2:AY$1048576)</f>
        <v>0</v>
      </c>
    </row>
    <row r="29" spans="1:2" x14ac:dyDescent="0.45">
      <c r="A29" s="23" t="s">
        <v>91</v>
      </c>
      <c r="B29" s="24">
        <f>SUMIF('Model SOV'!F$2:F$1048576,'State Premiums'!A29,'Model SOV'!AY$2:AY$1048576)</f>
        <v>2496.61203579005</v>
      </c>
    </row>
    <row r="30" spans="1:2" x14ac:dyDescent="0.45">
      <c r="A30" s="23" t="s">
        <v>170</v>
      </c>
      <c r="B30" s="24">
        <f>SUMIF('Model SOV'!F$2:F$1048576,'State Premiums'!A30,'Model SOV'!AY$2:AY$1048576)</f>
        <v>0</v>
      </c>
    </row>
    <row r="31" spans="1:2" x14ac:dyDescent="0.45">
      <c r="A31" s="23" t="s">
        <v>171</v>
      </c>
      <c r="B31" s="24">
        <f>SUMIF('Model SOV'!F$2:F$1048576,'State Premiums'!A31,'Model SOV'!AY$2:AY$1048576)</f>
        <v>0</v>
      </c>
    </row>
    <row r="32" spans="1:2" x14ac:dyDescent="0.45">
      <c r="A32" s="23" t="s">
        <v>172</v>
      </c>
      <c r="B32" s="24">
        <f>SUMIF('Model SOV'!F$2:F$1048576,'State Premiums'!A32,'Model SOV'!AY$2:AY$1048576)</f>
        <v>0</v>
      </c>
    </row>
    <row r="33" spans="1:2" x14ac:dyDescent="0.45">
      <c r="A33" s="23" t="s">
        <v>100</v>
      </c>
      <c r="B33" s="24">
        <f>SUMIF('Model SOV'!F$2:F$1048576,'State Premiums'!A33,'Model SOV'!AY$2:AY$1048576)</f>
        <v>976.59206556771221</v>
      </c>
    </row>
    <row r="34" spans="1:2" x14ac:dyDescent="0.45">
      <c r="A34" s="23" t="s">
        <v>173</v>
      </c>
      <c r="B34" s="24">
        <f>SUMIF('Model SOV'!F$2:F$1048576,'State Premiums'!A34,'Model SOV'!AY$2:AY$1048576)</f>
        <v>0</v>
      </c>
    </row>
    <row r="35" spans="1:2" x14ac:dyDescent="0.45">
      <c r="A35" s="23" t="s">
        <v>174</v>
      </c>
      <c r="B35" s="24">
        <f>SUMIF('Model SOV'!F$2:F$1048576,'State Premiums'!A35,'Model SOV'!AY$2:AY$1048576)</f>
        <v>0</v>
      </c>
    </row>
    <row r="36" spans="1:2" x14ac:dyDescent="0.45">
      <c r="A36" s="23" t="s">
        <v>108</v>
      </c>
      <c r="B36" s="24">
        <f>SUMIF('Model SOV'!F$2:F$1048576,'State Premiums'!A36,'Model SOV'!AY$2:AY$1048576)</f>
        <v>87042.116248369886</v>
      </c>
    </row>
    <row r="37" spans="1:2" x14ac:dyDescent="0.45">
      <c r="A37" s="23" t="s">
        <v>175</v>
      </c>
      <c r="B37" s="24">
        <f>SUMIF('Model SOV'!F$2:F$1048576,'State Premiums'!A37,'Model SOV'!AY$2:AY$1048576)</f>
        <v>0</v>
      </c>
    </row>
    <row r="38" spans="1:2" x14ac:dyDescent="0.45">
      <c r="A38" s="23" t="s">
        <v>176</v>
      </c>
      <c r="B38" s="24">
        <f>SUMIF('Model SOV'!F$2:F$1048576,'State Premiums'!A38,'Model SOV'!AY$2:AY$1048576)</f>
        <v>0</v>
      </c>
    </row>
    <row r="39" spans="1:2" x14ac:dyDescent="0.45">
      <c r="A39" s="23" t="s">
        <v>177</v>
      </c>
      <c r="B39" s="24">
        <f>SUMIF('Model SOV'!F$2:F$1048576,'State Premiums'!A39,'Model SOV'!AY$2:AY$1048576)</f>
        <v>0</v>
      </c>
    </row>
    <row r="40" spans="1:2" x14ac:dyDescent="0.45">
      <c r="A40" s="23" t="s">
        <v>178</v>
      </c>
      <c r="B40" s="24">
        <f>SUMIF('Model SOV'!F$2:F$1048576,'State Premiums'!A40,'Model SOV'!AY$2:AY$1048576)</f>
        <v>0</v>
      </c>
    </row>
    <row r="41" spans="1:2" x14ac:dyDescent="0.45">
      <c r="A41" s="23" t="s">
        <v>179</v>
      </c>
      <c r="B41" s="24">
        <f>SUMIF('Model SOV'!F$2:F$1048576,'State Premiums'!A41,'Model SOV'!AY$2:AY$1048576)</f>
        <v>0</v>
      </c>
    </row>
    <row r="42" spans="1:2" x14ac:dyDescent="0.45">
      <c r="A42" s="23" t="s">
        <v>180</v>
      </c>
      <c r="B42" s="24">
        <f>SUMIF('Model SOV'!F$2:F$1048576,'State Premiums'!A42,'Model SOV'!AY$2:AY$1048576)</f>
        <v>0</v>
      </c>
    </row>
    <row r="43" spans="1:2" x14ac:dyDescent="0.45">
      <c r="A43" s="23" t="s">
        <v>181</v>
      </c>
      <c r="B43" s="24">
        <f>SUMIF('Model SOV'!F$2:F$1048576,'State Premiums'!A43,'Model SOV'!AY$2:AY$1048576)</f>
        <v>0</v>
      </c>
    </row>
    <row r="44" spans="1:2" x14ac:dyDescent="0.45">
      <c r="A44" s="23" t="s">
        <v>182</v>
      </c>
      <c r="B44" s="24">
        <f>SUMIF('Model SOV'!F$2:F$1048576,'State Premiums'!A44,'Model SOV'!AY$2:AY$1048576)</f>
        <v>0</v>
      </c>
    </row>
    <row r="45" spans="1:2" x14ac:dyDescent="0.45">
      <c r="A45" s="23" t="s">
        <v>183</v>
      </c>
      <c r="B45" s="24">
        <f>SUMIF('Model SOV'!F$2:F$1048576,'State Premiums'!A45,'Model SOV'!AY$2:AY$1048576)</f>
        <v>0</v>
      </c>
    </row>
    <row r="46" spans="1:2" x14ac:dyDescent="0.45">
      <c r="A46" s="23" t="s">
        <v>184</v>
      </c>
      <c r="B46" s="24">
        <f>SUMIF('Model SOV'!F$2:F$1048576,'State Premiums'!A46,'Model SOV'!AY$2:AY$1048576)</f>
        <v>0</v>
      </c>
    </row>
    <row r="47" spans="1:2" x14ac:dyDescent="0.45">
      <c r="A47" s="23" t="s">
        <v>185</v>
      </c>
      <c r="B47" s="24">
        <f>SUMIF('Model SOV'!F$2:F$1048576,'State Premiums'!A47,'Model SOV'!AY$2:AY$1048576)</f>
        <v>0</v>
      </c>
    </row>
    <row r="48" spans="1:2" x14ac:dyDescent="0.45">
      <c r="A48" s="23" t="s">
        <v>186</v>
      </c>
      <c r="B48" s="24">
        <f>SUMIF('Model SOV'!F$2:F$1048576,'State Premiums'!A48,'Model SOV'!AY$2:AY$1048576)</f>
        <v>0</v>
      </c>
    </row>
    <row r="49" spans="1:2" x14ac:dyDescent="0.45">
      <c r="A49" s="23" t="s">
        <v>187</v>
      </c>
      <c r="B49" s="24">
        <f>SUMIF('Model SOV'!F$2:F$1048576,'State Premiums'!A49,'Model SOV'!AY$2:AY$1048576)</f>
        <v>0</v>
      </c>
    </row>
    <row r="50" spans="1:2" x14ac:dyDescent="0.45">
      <c r="A50" s="23" t="s">
        <v>188</v>
      </c>
      <c r="B50" s="24">
        <f>SUMIF('Model SOV'!F$2:F$1048576,'State Premiums'!A50,'Model SOV'!AY$2:AY$1048576)</f>
        <v>0</v>
      </c>
    </row>
    <row r="51" spans="1:2" x14ac:dyDescent="0.45">
      <c r="A51" s="23" t="s">
        <v>189</v>
      </c>
      <c r="B51" s="24">
        <f>SUMIF('Model SOV'!F$2:F$1048576,'State Premiums'!A51,'Model SOV'!AY$2:AY$1048576)</f>
        <v>0</v>
      </c>
    </row>
    <row r="52" spans="1:2" x14ac:dyDescent="0.45">
      <c r="A52" s="23" t="s">
        <v>190</v>
      </c>
      <c r="B52" s="24">
        <f>SUMIF('Model SOV'!F$2:F$1048576,'State Premiums'!A52,'Model SOV'!AY$2:AY$1048576)</f>
        <v>0</v>
      </c>
    </row>
    <row r="53" spans="1:2" x14ac:dyDescent="0.45">
      <c r="B53" s="26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SOV</vt:lpstr>
      <vt:lpstr>State Premiums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Kitts-Jensen, Joanna R</dc:creator>
  <cp:lastModifiedBy>Kitts-Jensen, Joanna R</cp:lastModifiedBy>
  <dcterms:created xsi:type="dcterms:W3CDTF">2024-03-13T19:08:14Z</dcterms:created>
  <dcterms:modified xsi:type="dcterms:W3CDTF">2024-03-13T19:38:23Z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2024-03-13T19:09:31Z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2c1233fb-d338-4f27-82ab-f4c412ed74bc</vt:lpwstr>
  </property>
  <property fmtid="{D5CDD505-2E9C-101B-9397-08002B2CF9AE}" pid="8" name="MSIP_Label_38f1469a-2c2a-4aee-b92b-090d4c5468ff_ContentBits">
    <vt:lpwstr>0</vt:lpwstr>
  </property>
</Properties>
</file>